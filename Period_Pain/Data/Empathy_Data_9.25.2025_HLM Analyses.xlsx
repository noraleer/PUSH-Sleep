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-Sleep\Databases\E-Sleep Databases\Jules &amp; Nikoo Cleaning\"/>
    </mc:Choice>
  </mc:AlternateContent>
  <xr:revisionPtr revIDLastSave="0" documentId="13_ncr:1_{72AA1995-BBAE-48F3-8D1F-F998A6887DB4}" xr6:coauthVersionLast="47" xr6:coauthVersionMax="47" xr10:uidLastSave="{00000000-0000-0000-0000-000000000000}"/>
  <bookViews>
    <workbookView xWindow="19080" yWindow="-120" windowWidth="19440" windowHeight="15000" xr2:uid="{5325EF83-9353-4BAF-A773-4588B518638D}"/>
  </bookViews>
  <sheets>
    <sheet name="Empathy_Data_9.25.2025_HLM Anal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68" i="1" l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0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5" i="1"/>
  <c r="AL4" i="1"/>
  <c r="AL3" i="1"/>
  <c r="AL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</calcChain>
</file>

<file path=xl/sharedStrings.xml><?xml version="1.0" encoding="utf-8"?>
<sst xmlns="http://schemas.openxmlformats.org/spreadsheetml/2006/main" count="3662" uniqueCount="39">
  <si>
    <t>record_id</t>
  </si>
  <si>
    <t>P_ID</t>
  </si>
  <si>
    <t>C_ID</t>
  </si>
  <si>
    <t>duplicate</t>
  </si>
  <si>
    <t>baseline</t>
  </si>
  <si>
    <t>visit1</t>
  </si>
  <si>
    <t>visit2</t>
  </si>
  <si>
    <t>demo_child_age_check_t1</t>
  </si>
  <si>
    <t>demo_child_ethnicityt1</t>
  </si>
  <si>
    <t>demo_child_race___1t1</t>
  </si>
  <si>
    <t>demo_child_race___2t1</t>
  </si>
  <si>
    <t>demo_child_race___3t1</t>
  </si>
  <si>
    <t>demo_child_race___4t1</t>
  </si>
  <si>
    <t>demo_child_race___5t1</t>
  </si>
  <si>
    <t>demo_degreet1</t>
  </si>
  <si>
    <t>heightt1</t>
  </si>
  <si>
    <t>heightt1_conv</t>
  </si>
  <si>
    <t>heightt1_m2</t>
  </si>
  <si>
    <t>weight2t1</t>
  </si>
  <si>
    <t>BMIt1</t>
  </si>
  <si>
    <t>weightdifft1</t>
  </si>
  <si>
    <t>weight3t1</t>
  </si>
  <si>
    <t>demo_child_age_check_t2</t>
  </si>
  <si>
    <t>demo_child_ethnicityt2</t>
  </si>
  <si>
    <t>demo_child_race___1t2</t>
  </si>
  <si>
    <t>demo_child_race___2t2</t>
  </si>
  <si>
    <t>demo_child_race___3t2</t>
  </si>
  <si>
    <t>demo_child_race___4t2</t>
  </si>
  <si>
    <t>demo_child_race___5t2</t>
  </si>
  <si>
    <t>demo_degreet2</t>
  </si>
  <si>
    <t>heightt2</t>
  </si>
  <si>
    <t>heightt2_conv</t>
  </si>
  <si>
    <t>heightt2_m2</t>
  </si>
  <si>
    <t>weight2t2</t>
  </si>
  <si>
    <t>BMIt2</t>
  </si>
  <si>
    <t>weightdifft2</t>
  </si>
  <si>
    <t>NA</t>
  </si>
  <si>
    <t>BodyTotalt0</t>
  </si>
  <si>
    <t>PPTavgt0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</si>
</sst>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dornetti\Downloads\SPACE_GSS_3.xlsx" TargetMode="External"/><Relationship Id="rId1" Type="http://schemas.openxmlformats.org/officeDocument/2006/relationships/externalLinkPath" Target="file:///C:\Users\jadornetti\Downloads\SPACE_GSS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ACE_GSS_3"/>
      <sheetName val="Sheet1"/>
    </sheetNames>
    <sheetDataSet>
      <sheetData sheetId="0">
        <row r="1">
          <cell r="G1" t="str">
            <v>C_ID</v>
          </cell>
          <cell r="AP1" t="str">
            <v>C1_CBodyTotal</v>
          </cell>
          <cell r="BM1" t="str">
            <v>C1_PPTavg</v>
          </cell>
        </row>
        <row r="2">
          <cell r="G2">
            <v>98</v>
          </cell>
          <cell r="AP2">
            <v>2</v>
          </cell>
          <cell r="BM2">
            <v>17.649999999999999</v>
          </cell>
        </row>
        <row r="3">
          <cell r="G3">
            <v>216</v>
          </cell>
          <cell r="AP3">
            <v>0</v>
          </cell>
          <cell r="BM3">
            <v>8.15</v>
          </cell>
        </row>
        <row r="4">
          <cell r="G4">
            <v>340</v>
          </cell>
          <cell r="AP4" t="e">
            <v>#NULL!</v>
          </cell>
          <cell r="BM4" t="e">
            <v>#NULL!</v>
          </cell>
        </row>
        <row r="5">
          <cell r="G5">
            <v>394</v>
          </cell>
          <cell r="AP5">
            <v>2</v>
          </cell>
          <cell r="BM5">
            <v>7.75</v>
          </cell>
        </row>
        <row r="6">
          <cell r="G6">
            <v>422</v>
          </cell>
          <cell r="AP6">
            <v>2</v>
          </cell>
          <cell r="BM6">
            <v>11.3</v>
          </cell>
        </row>
        <row r="7">
          <cell r="G7">
            <v>510</v>
          </cell>
          <cell r="AP7">
            <v>1</v>
          </cell>
          <cell r="BM7">
            <v>11.4</v>
          </cell>
        </row>
        <row r="8">
          <cell r="G8">
            <v>2</v>
          </cell>
          <cell r="AP8">
            <v>3</v>
          </cell>
          <cell r="BM8">
            <v>15.1</v>
          </cell>
        </row>
        <row r="9">
          <cell r="G9">
            <v>4</v>
          </cell>
          <cell r="AP9">
            <v>2</v>
          </cell>
          <cell r="BM9">
            <v>30.15</v>
          </cell>
        </row>
        <row r="10">
          <cell r="G10">
            <v>6</v>
          </cell>
          <cell r="AP10">
            <v>3</v>
          </cell>
          <cell r="BM10">
            <v>11.05</v>
          </cell>
        </row>
        <row r="11">
          <cell r="G11">
            <v>12</v>
          </cell>
          <cell r="AP11">
            <v>0</v>
          </cell>
          <cell r="BM11">
            <v>23.45</v>
          </cell>
        </row>
        <row r="12">
          <cell r="G12">
            <v>16</v>
          </cell>
          <cell r="AP12">
            <v>15</v>
          </cell>
          <cell r="BM12">
            <v>24.05</v>
          </cell>
        </row>
        <row r="13">
          <cell r="G13">
            <v>18</v>
          </cell>
          <cell r="AP13">
            <v>1</v>
          </cell>
          <cell r="BM13">
            <v>9.1999999999999993</v>
          </cell>
        </row>
        <row r="14">
          <cell r="G14">
            <v>22</v>
          </cell>
          <cell r="AP14">
            <v>1</v>
          </cell>
          <cell r="BM14">
            <v>9.4</v>
          </cell>
        </row>
        <row r="15">
          <cell r="G15">
            <v>24</v>
          </cell>
          <cell r="AP15">
            <v>1</v>
          </cell>
          <cell r="BM15">
            <v>15.65</v>
          </cell>
        </row>
        <row r="16">
          <cell r="G16">
            <v>26</v>
          </cell>
          <cell r="AP16">
            <v>1</v>
          </cell>
          <cell r="BM16">
            <v>9.3000000000000007</v>
          </cell>
        </row>
        <row r="17">
          <cell r="G17">
            <v>30</v>
          </cell>
          <cell r="AP17">
            <v>1</v>
          </cell>
          <cell r="BM17">
            <v>12.25</v>
          </cell>
        </row>
        <row r="18">
          <cell r="G18">
            <v>32</v>
          </cell>
          <cell r="AP18">
            <v>0</v>
          </cell>
          <cell r="BM18">
            <v>17.149999999999999</v>
          </cell>
        </row>
        <row r="19">
          <cell r="G19">
            <v>34</v>
          </cell>
          <cell r="AP19">
            <v>0</v>
          </cell>
          <cell r="BM19">
            <v>54.7</v>
          </cell>
        </row>
        <row r="20">
          <cell r="G20">
            <v>36</v>
          </cell>
          <cell r="AP20">
            <v>0</v>
          </cell>
          <cell r="BM20">
            <v>12.85</v>
          </cell>
        </row>
        <row r="21">
          <cell r="G21">
            <v>38</v>
          </cell>
          <cell r="AP21">
            <v>4</v>
          </cell>
          <cell r="BM21">
            <v>8.15</v>
          </cell>
        </row>
        <row r="22">
          <cell r="G22">
            <v>40</v>
          </cell>
          <cell r="AP22">
            <v>4</v>
          </cell>
          <cell r="BM22">
            <v>9.1</v>
          </cell>
        </row>
        <row r="23">
          <cell r="G23">
            <v>42</v>
          </cell>
          <cell r="AP23">
            <v>0</v>
          </cell>
          <cell r="BM23">
            <v>21.8</v>
          </cell>
        </row>
        <row r="24">
          <cell r="G24">
            <v>46</v>
          </cell>
          <cell r="AP24">
            <v>0</v>
          </cell>
          <cell r="BM24">
            <v>12.25</v>
          </cell>
        </row>
        <row r="25">
          <cell r="G25">
            <v>48</v>
          </cell>
          <cell r="AP25">
            <v>1</v>
          </cell>
          <cell r="BM25">
            <v>24.9</v>
          </cell>
        </row>
        <row r="26">
          <cell r="G26">
            <v>50</v>
          </cell>
          <cell r="AP26">
            <v>0</v>
          </cell>
          <cell r="BM26">
            <v>21.5</v>
          </cell>
        </row>
        <row r="27">
          <cell r="G27">
            <v>52</v>
          </cell>
          <cell r="AP27">
            <v>7</v>
          </cell>
          <cell r="BM27">
            <v>14.85</v>
          </cell>
        </row>
        <row r="28">
          <cell r="G28">
            <v>54</v>
          </cell>
          <cell r="AP28">
            <v>1</v>
          </cell>
          <cell r="BM28">
            <v>12.4</v>
          </cell>
        </row>
        <row r="29">
          <cell r="G29">
            <v>56</v>
          </cell>
          <cell r="AP29">
            <v>1</v>
          </cell>
          <cell r="BM29">
            <v>14.25</v>
          </cell>
        </row>
        <row r="30">
          <cell r="G30">
            <v>58</v>
          </cell>
          <cell r="AP30">
            <v>2</v>
          </cell>
          <cell r="BM30">
            <v>18</v>
          </cell>
        </row>
        <row r="31">
          <cell r="G31">
            <v>60</v>
          </cell>
          <cell r="AP31">
            <v>2</v>
          </cell>
          <cell r="BM31">
            <v>18.8</v>
          </cell>
        </row>
        <row r="32">
          <cell r="G32">
            <v>62</v>
          </cell>
          <cell r="AP32">
            <v>2</v>
          </cell>
          <cell r="BM32">
            <v>20.85</v>
          </cell>
        </row>
        <row r="33">
          <cell r="G33">
            <v>68</v>
          </cell>
          <cell r="AP33">
            <v>4</v>
          </cell>
          <cell r="BM33">
            <v>15.65</v>
          </cell>
        </row>
        <row r="34">
          <cell r="G34">
            <v>70</v>
          </cell>
          <cell r="AP34">
            <v>3</v>
          </cell>
          <cell r="BM34">
            <v>26.4</v>
          </cell>
        </row>
        <row r="35">
          <cell r="G35">
            <v>72</v>
          </cell>
          <cell r="AP35">
            <v>2</v>
          </cell>
          <cell r="BM35">
            <v>11.05</v>
          </cell>
        </row>
        <row r="36">
          <cell r="G36">
            <v>74</v>
          </cell>
          <cell r="AP36">
            <v>0</v>
          </cell>
          <cell r="BM36">
            <v>6.6</v>
          </cell>
        </row>
        <row r="37">
          <cell r="G37">
            <v>78</v>
          </cell>
          <cell r="AP37">
            <v>2</v>
          </cell>
          <cell r="BM37">
            <v>14.9</v>
          </cell>
        </row>
        <row r="38">
          <cell r="G38">
            <v>82</v>
          </cell>
          <cell r="AP38">
            <v>0</v>
          </cell>
          <cell r="BM38">
            <v>17.7</v>
          </cell>
        </row>
        <row r="39">
          <cell r="G39">
            <v>84</v>
          </cell>
          <cell r="AP39">
            <v>2</v>
          </cell>
          <cell r="BM39" t="e">
            <v>#NULL!</v>
          </cell>
        </row>
        <row r="40">
          <cell r="G40">
            <v>86</v>
          </cell>
          <cell r="AP40">
            <v>0</v>
          </cell>
          <cell r="BM40">
            <v>22.5</v>
          </cell>
        </row>
        <row r="41">
          <cell r="G41">
            <v>88</v>
          </cell>
          <cell r="AP41">
            <v>3</v>
          </cell>
          <cell r="BM41">
            <v>20.85</v>
          </cell>
        </row>
        <row r="42">
          <cell r="G42">
            <v>90</v>
          </cell>
          <cell r="AP42">
            <v>3</v>
          </cell>
          <cell r="BM42">
            <v>19.25</v>
          </cell>
        </row>
        <row r="43">
          <cell r="G43">
            <v>92</v>
          </cell>
          <cell r="AP43">
            <v>3</v>
          </cell>
          <cell r="BM43">
            <v>18.649999999999999</v>
          </cell>
        </row>
        <row r="44">
          <cell r="G44">
            <v>100</v>
          </cell>
          <cell r="AP44">
            <v>1</v>
          </cell>
          <cell r="BM44">
            <v>16.899999999999999</v>
          </cell>
        </row>
        <row r="45">
          <cell r="G45">
            <v>102</v>
          </cell>
          <cell r="AP45">
            <v>1</v>
          </cell>
          <cell r="BM45">
            <v>10.55</v>
          </cell>
        </row>
        <row r="46">
          <cell r="G46">
            <v>104</v>
          </cell>
          <cell r="AP46">
            <v>0</v>
          </cell>
          <cell r="BM46">
            <v>13.65</v>
          </cell>
        </row>
        <row r="47">
          <cell r="G47">
            <v>106</v>
          </cell>
          <cell r="AP47">
            <v>6</v>
          </cell>
          <cell r="BM47">
            <v>11.75</v>
          </cell>
        </row>
        <row r="48">
          <cell r="G48">
            <v>110</v>
          </cell>
          <cell r="AP48">
            <v>1</v>
          </cell>
          <cell r="BM48">
            <v>17.05</v>
          </cell>
        </row>
        <row r="49">
          <cell r="G49">
            <v>112</v>
          </cell>
          <cell r="AP49">
            <v>2</v>
          </cell>
          <cell r="BM49">
            <v>22.1</v>
          </cell>
        </row>
        <row r="50">
          <cell r="G50">
            <v>114</v>
          </cell>
          <cell r="AP50">
            <v>1</v>
          </cell>
          <cell r="BM50">
            <v>29.45</v>
          </cell>
        </row>
        <row r="51">
          <cell r="G51">
            <v>118</v>
          </cell>
          <cell r="AP51">
            <v>3</v>
          </cell>
          <cell r="BM51">
            <v>10.95</v>
          </cell>
        </row>
        <row r="52">
          <cell r="G52">
            <v>122</v>
          </cell>
          <cell r="AP52">
            <v>3</v>
          </cell>
          <cell r="BM52">
            <v>7.3</v>
          </cell>
        </row>
        <row r="53">
          <cell r="G53">
            <v>124</v>
          </cell>
          <cell r="AP53">
            <v>3</v>
          </cell>
          <cell r="BM53">
            <v>3.1</v>
          </cell>
        </row>
        <row r="54">
          <cell r="G54">
            <v>126</v>
          </cell>
          <cell r="AP54">
            <v>0</v>
          </cell>
          <cell r="BM54">
            <v>14.05</v>
          </cell>
        </row>
        <row r="55">
          <cell r="G55">
            <v>128</v>
          </cell>
          <cell r="AP55">
            <v>1</v>
          </cell>
          <cell r="BM55">
            <v>22.15</v>
          </cell>
        </row>
        <row r="56">
          <cell r="G56">
            <v>130</v>
          </cell>
          <cell r="AP56">
            <v>4</v>
          </cell>
          <cell r="BM56">
            <v>15.15</v>
          </cell>
        </row>
        <row r="57">
          <cell r="G57">
            <v>132</v>
          </cell>
          <cell r="AP57">
            <v>0</v>
          </cell>
          <cell r="BM57">
            <v>33.35</v>
          </cell>
        </row>
        <row r="58">
          <cell r="G58">
            <v>138</v>
          </cell>
          <cell r="AP58">
            <v>1</v>
          </cell>
          <cell r="BM58">
            <v>14.6</v>
          </cell>
        </row>
        <row r="59">
          <cell r="G59">
            <v>140</v>
          </cell>
          <cell r="AP59">
            <v>4</v>
          </cell>
          <cell r="BM59">
            <v>10.5</v>
          </cell>
        </row>
        <row r="60">
          <cell r="G60">
            <v>142</v>
          </cell>
          <cell r="AP60">
            <v>0</v>
          </cell>
          <cell r="BM60">
            <v>8.65</v>
          </cell>
        </row>
        <row r="61">
          <cell r="G61">
            <v>144</v>
          </cell>
          <cell r="AP61">
            <v>0</v>
          </cell>
          <cell r="BM61">
            <v>23.55</v>
          </cell>
        </row>
        <row r="62">
          <cell r="G62">
            <v>146</v>
          </cell>
          <cell r="AP62">
            <v>2</v>
          </cell>
          <cell r="BM62">
            <v>20.7</v>
          </cell>
        </row>
        <row r="63">
          <cell r="G63">
            <v>150</v>
          </cell>
          <cell r="AP63">
            <v>0</v>
          </cell>
          <cell r="BM63">
            <v>34.9</v>
          </cell>
        </row>
        <row r="64">
          <cell r="G64">
            <v>152</v>
          </cell>
          <cell r="AP64">
            <v>1</v>
          </cell>
          <cell r="BM64">
            <v>25.35</v>
          </cell>
        </row>
        <row r="65">
          <cell r="G65">
            <v>154</v>
          </cell>
          <cell r="AP65">
            <v>5</v>
          </cell>
          <cell r="BM65">
            <v>13.75</v>
          </cell>
        </row>
        <row r="66">
          <cell r="G66">
            <v>156</v>
          </cell>
          <cell r="AP66">
            <v>0</v>
          </cell>
          <cell r="BM66">
            <v>8.75</v>
          </cell>
        </row>
        <row r="67">
          <cell r="G67">
            <v>170</v>
          </cell>
          <cell r="AP67">
            <v>0</v>
          </cell>
          <cell r="BM67">
            <v>10.199999999999999</v>
          </cell>
        </row>
        <row r="68">
          <cell r="G68">
            <v>172</v>
          </cell>
          <cell r="AP68">
            <v>0</v>
          </cell>
          <cell r="BM68">
            <v>21.35</v>
          </cell>
        </row>
        <row r="69">
          <cell r="G69">
            <v>178</v>
          </cell>
          <cell r="AP69">
            <v>3</v>
          </cell>
          <cell r="BM69">
            <v>19.149999999999999</v>
          </cell>
        </row>
        <row r="70">
          <cell r="G70">
            <v>180</v>
          </cell>
          <cell r="AP70">
            <v>3</v>
          </cell>
          <cell r="BM70">
            <v>7.65</v>
          </cell>
        </row>
        <row r="71">
          <cell r="G71">
            <v>184</v>
          </cell>
          <cell r="AP71">
            <v>0</v>
          </cell>
          <cell r="BM71">
            <v>27.55</v>
          </cell>
        </row>
        <row r="72">
          <cell r="G72">
            <v>194</v>
          </cell>
          <cell r="AP72">
            <v>0</v>
          </cell>
          <cell r="BM72">
            <v>10.1</v>
          </cell>
        </row>
        <row r="73">
          <cell r="G73">
            <v>200</v>
          </cell>
          <cell r="AP73">
            <v>2</v>
          </cell>
          <cell r="BM73">
            <v>14.3</v>
          </cell>
        </row>
        <row r="74">
          <cell r="G74">
            <v>202</v>
          </cell>
          <cell r="AP74">
            <v>0</v>
          </cell>
          <cell r="BM74">
            <v>6.25</v>
          </cell>
        </row>
        <row r="75">
          <cell r="G75">
            <v>204</v>
          </cell>
          <cell r="AP75">
            <v>0</v>
          </cell>
          <cell r="BM75">
            <v>13.6</v>
          </cell>
        </row>
        <row r="76">
          <cell r="G76">
            <v>206</v>
          </cell>
          <cell r="AP76">
            <v>0</v>
          </cell>
          <cell r="BM76">
            <v>7.1</v>
          </cell>
        </row>
        <row r="77">
          <cell r="G77">
            <v>208</v>
          </cell>
          <cell r="AP77">
            <v>0</v>
          </cell>
          <cell r="BM77">
            <v>21.4</v>
          </cell>
        </row>
        <row r="78">
          <cell r="G78">
            <v>210</v>
          </cell>
          <cell r="AP78">
            <v>0</v>
          </cell>
          <cell r="BM78">
            <v>17.55</v>
          </cell>
        </row>
        <row r="79">
          <cell r="G79">
            <v>212</v>
          </cell>
          <cell r="AP79">
            <v>0</v>
          </cell>
          <cell r="BM79">
            <v>16.649999999999999</v>
          </cell>
        </row>
        <row r="80">
          <cell r="G80">
            <v>218</v>
          </cell>
          <cell r="AP80">
            <v>0</v>
          </cell>
          <cell r="BM80">
            <v>14.9</v>
          </cell>
        </row>
        <row r="81">
          <cell r="G81">
            <v>220</v>
          </cell>
          <cell r="AP81">
            <v>0</v>
          </cell>
          <cell r="BM81">
            <v>6.75</v>
          </cell>
        </row>
        <row r="82">
          <cell r="G82">
            <v>222</v>
          </cell>
          <cell r="AP82">
            <v>4</v>
          </cell>
          <cell r="BM82">
            <v>24.85</v>
          </cell>
        </row>
        <row r="83">
          <cell r="G83">
            <v>224</v>
          </cell>
          <cell r="AP83">
            <v>1</v>
          </cell>
          <cell r="BM83">
            <v>14.05</v>
          </cell>
        </row>
        <row r="84">
          <cell r="G84">
            <v>228</v>
          </cell>
          <cell r="AP84">
            <v>0</v>
          </cell>
          <cell r="BM84">
            <v>10.95</v>
          </cell>
        </row>
        <row r="85">
          <cell r="G85">
            <v>230</v>
          </cell>
          <cell r="AP85">
            <v>1</v>
          </cell>
          <cell r="BM85">
            <v>11.7</v>
          </cell>
        </row>
        <row r="86">
          <cell r="G86">
            <v>232</v>
          </cell>
          <cell r="AP86">
            <v>0</v>
          </cell>
          <cell r="BM86">
            <v>9.35</v>
          </cell>
        </row>
        <row r="87">
          <cell r="G87">
            <v>238</v>
          </cell>
          <cell r="AP87">
            <v>1</v>
          </cell>
          <cell r="BM87">
            <v>18.7</v>
          </cell>
        </row>
        <row r="88">
          <cell r="G88">
            <v>240</v>
          </cell>
          <cell r="AP88">
            <v>0</v>
          </cell>
          <cell r="BM88">
            <v>11.1</v>
          </cell>
        </row>
        <row r="89">
          <cell r="G89">
            <v>244</v>
          </cell>
          <cell r="AP89">
            <v>0</v>
          </cell>
          <cell r="BM89">
            <v>27.55</v>
          </cell>
        </row>
        <row r="90">
          <cell r="G90">
            <v>246</v>
          </cell>
          <cell r="AP90">
            <v>1</v>
          </cell>
          <cell r="BM90">
            <v>10.85</v>
          </cell>
        </row>
        <row r="91">
          <cell r="G91">
            <v>248</v>
          </cell>
          <cell r="AP91">
            <v>0</v>
          </cell>
          <cell r="BM91">
            <v>37.1</v>
          </cell>
        </row>
        <row r="92">
          <cell r="G92">
            <v>250</v>
          </cell>
          <cell r="AP92">
            <v>1</v>
          </cell>
          <cell r="BM92">
            <v>8.8000000000000007</v>
          </cell>
        </row>
        <row r="93">
          <cell r="G93">
            <v>252</v>
          </cell>
          <cell r="AP93">
            <v>0</v>
          </cell>
          <cell r="BM93">
            <v>11.5</v>
          </cell>
        </row>
        <row r="94">
          <cell r="G94">
            <v>256</v>
          </cell>
          <cell r="AP94">
            <v>0</v>
          </cell>
          <cell r="BM94">
            <v>20.95</v>
          </cell>
        </row>
        <row r="95">
          <cell r="G95">
            <v>258</v>
          </cell>
          <cell r="AP95">
            <v>3</v>
          </cell>
          <cell r="BM95">
            <v>14.4</v>
          </cell>
        </row>
        <row r="96">
          <cell r="G96">
            <v>260</v>
          </cell>
          <cell r="AP96">
            <v>1</v>
          </cell>
          <cell r="BM96">
            <v>18.899999999999999</v>
          </cell>
        </row>
        <row r="97">
          <cell r="G97">
            <v>266</v>
          </cell>
          <cell r="AP97">
            <v>6</v>
          </cell>
          <cell r="BM97">
            <v>36.1</v>
          </cell>
        </row>
        <row r="98">
          <cell r="G98">
            <v>268</v>
          </cell>
          <cell r="AP98">
            <v>4</v>
          </cell>
          <cell r="BM98">
            <v>22.25</v>
          </cell>
        </row>
        <row r="99">
          <cell r="G99">
            <v>270</v>
          </cell>
          <cell r="AP99">
            <v>2</v>
          </cell>
          <cell r="BM99">
            <v>12.1</v>
          </cell>
        </row>
        <row r="100">
          <cell r="G100">
            <v>272</v>
          </cell>
          <cell r="AP100">
            <v>2</v>
          </cell>
          <cell r="BM100">
            <v>25.5</v>
          </cell>
        </row>
        <row r="101">
          <cell r="G101">
            <v>276</v>
          </cell>
          <cell r="AP101">
            <v>2</v>
          </cell>
          <cell r="BM101">
            <v>8.0500000000000007</v>
          </cell>
        </row>
        <row r="102">
          <cell r="G102">
            <v>278</v>
          </cell>
          <cell r="AP102">
            <v>1</v>
          </cell>
          <cell r="BM102">
            <v>16.7</v>
          </cell>
        </row>
        <row r="103">
          <cell r="G103">
            <v>282</v>
          </cell>
          <cell r="AP103">
            <v>0</v>
          </cell>
          <cell r="BM103">
            <v>24.2</v>
          </cell>
        </row>
        <row r="104">
          <cell r="G104">
            <v>284</v>
          </cell>
          <cell r="AP104">
            <v>1</v>
          </cell>
          <cell r="BM104">
            <v>24.2</v>
          </cell>
        </row>
        <row r="105">
          <cell r="G105">
            <v>288</v>
          </cell>
          <cell r="AP105">
            <v>0</v>
          </cell>
          <cell r="BM105">
            <v>28.5</v>
          </cell>
        </row>
        <row r="106">
          <cell r="G106">
            <v>290</v>
          </cell>
          <cell r="AP106">
            <v>3</v>
          </cell>
          <cell r="BM106">
            <v>23.8</v>
          </cell>
        </row>
        <row r="107">
          <cell r="G107">
            <v>292</v>
          </cell>
          <cell r="AP107">
            <v>5</v>
          </cell>
          <cell r="BM107">
            <v>11.1</v>
          </cell>
        </row>
        <row r="108">
          <cell r="G108">
            <v>296</v>
          </cell>
          <cell r="AP108">
            <v>4</v>
          </cell>
          <cell r="BM108">
            <v>8.6999999999999993</v>
          </cell>
        </row>
        <row r="109">
          <cell r="G109">
            <v>298</v>
          </cell>
          <cell r="AP109">
            <v>2</v>
          </cell>
          <cell r="BM109">
            <v>11.8</v>
          </cell>
        </row>
        <row r="110">
          <cell r="G110">
            <v>300</v>
          </cell>
          <cell r="AP110">
            <v>0</v>
          </cell>
          <cell r="BM110">
            <v>13.5</v>
          </cell>
        </row>
        <row r="111">
          <cell r="G111">
            <v>304</v>
          </cell>
          <cell r="AP111">
            <v>0</v>
          </cell>
          <cell r="BM111">
            <v>13.3</v>
          </cell>
        </row>
        <row r="112">
          <cell r="G112">
            <v>306</v>
          </cell>
          <cell r="AP112">
            <v>0</v>
          </cell>
          <cell r="BM112">
            <v>13.35</v>
          </cell>
        </row>
        <row r="113">
          <cell r="G113">
            <v>308</v>
          </cell>
          <cell r="AP113">
            <v>0</v>
          </cell>
          <cell r="BM113">
            <v>17.649999999999999</v>
          </cell>
        </row>
        <row r="114">
          <cell r="G114">
            <v>310</v>
          </cell>
          <cell r="AP114">
            <v>4</v>
          </cell>
          <cell r="BM114">
            <v>14.3</v>
          </cell>
        </row>
        <row r="115">
          <cell r="G115">
            <v>312</v>
          </cell>
          <cell r="AP115">
            <v>3</v>
          </cell>
          <cell r="BM115">
            <v>8.0500000000000007</v>
          </cell>
        </row>
        <row r="116">
          <cell r="G116">
            <v>314</v>
          </cell>
          <cell r="AP116">
            <v>0</v>
          </cell>
          <cell r="BM116">
            <v>14.5</v>
          </cell>
        </row>
        <row r="117">
          <cell r="G117">
            <v>316</v>
          </cell>
          <cell r="AP117">
            <v>1</v>
          </cell>
          <cell r="BM117">
            <v>13.15</v>
          </cell>
        </row>
        <row r="118">
          <cell r="G118">
            <v>318</v>
          </cell>
          <cell r="AP118">
            <v>0</v>
          </cell>
          <cell r="BM118">
            <v>13.9</v>
          </cell>
        </row>
        <row r="119">
          <cell r="G119">
            <v>320</v>
          </cell>
          <cell r="AP119">
            <v>2</v>
          </cell>
          <cell r="BM119">
            <v>13.25</v>
          </cell>
        </row>
        <row r="120">
          <cell r="G120">
            <v>322</v>
          </cell>
          <cell r="AP120">
            <v>5</v>
          </cell>
          <cell r="BM120">
            <v>21.4</v>
          </cell>
        </row>
        <row r="121">
          <cell r="G121">
            <v>324</v>
          </cell>
          <cell r="AP121">
            <v>4</v>
          </cell>
          <cell r="BM121">
            <v>16.55</v>
          </cell>
        </row>
        <row r="122">
          <cell r="G122">
            <v>326</v>
          </cell>
          <cell r="AP122">
            <v>3</v>
          </cell>
          <cell r="BM122">
            <v>15.7</v>
          </cell>
        </row>
        <row r="123">
          <cell r="G123">
            <v>328</v>
          </cell>
          <cell r="AP123">
            <v>0</v>
          </cell>
          <cell r="BM123">
            <v>23.9</v>
          </cell>
        </row>
        <row r="124">
          <cell r="G124">
            <v>330</v>
          </cell>
          <cell r="AP124">
            <v>1</v>
          </cell>
          <cell r="BM124">
            <v>17.3</v>
          </cell>
        </row>
        <row r="125">
          <cell r="G125">
            <v>332</v>
          </cell>
          <cell r="AP125">
            <v>5</v>
          </cell>
          <cell r="BM125">
            <v>12.4</v>
          </cell>
        </row>
        <row r="126">
          <cell r="G126">
            <v>334</v>
          </cell>
          <cell r="AP126">
            <v>8</v>
          </cell>
          <cell r="BM126">
            <v>27</v>
          </cell>
        </row>
        <row r="127">
          <cell r="G127">
            <v>338</v>
          </cell>
          <cell r="AP127">
            <v>3</v>
          </cell>
          <cell r="BM127">
            <v>21.85</v>
          </cell>
        </row>
        <row r="128">
          <cell r="G128">
            <v>339</v>
          </cell>
          <cell r="AP128" t="e">
            <v>#NULL!</v>
          </cell>
          <cell r="BM128" t="e">
            <v>#NULL!</v>
          </cell>
        </row>
        <row r="129">
          <cell r="G129">
            <v>342</v>
          </cell>
          <cell r="AP129">
            <v>2</v>
          </cell>
          <cell r="BM129">
            <v>11.05</v>
          </cell>
        </row>
        <row r="130">
          <cell r="G130">
            <v>344</v>
          </cell>
          <cell r="AP130">
            <v>2</v>
          </cell>
          <cell r="BM130">
            <v>19.95</v>
          </cell>
        </row>
        <row r="131">
          <cell r="G131">
            <v>346</v>
          </cell>
          <cell r="AP131">
            <v>2</v>
          </cell>
          <cell r="BM131">
            <v>22.05</v>
          </cell>
        </row>
        <row r="132">
          <cell r="G132">
            <v>350</v>
          </cell>
          <cell r="AP132">
            <v>3</v>
          </cell>
          <cell r="BM132">
            <v>19.850000000000001</v>
          </cell>
        </row>
        <row r="133">
          <cell r="G133">
            <v>356</v>
          </cell>
          <cell r="AP133">
            <v>3</v>
          </cell>
          <cell r="BM133">
            <v>11.3</v>
          </cell>
        </row>
        <row r="134">
          <cell r="G134">
            <v>358</v>
          </cell>
          <cell r="AP134">
            <v>3</v>
          </cell>
          <cell r="BM134">
            <v>14.3</v>
          </cell>
        </row>
        <row r="135">
          <cell r="G135">
            <v>362</v>
          </cell>
          <cell r="AP135">
            <v>3</v>
          </cell>
          <cell r="BM135">
            <v>19.399999999999999</v>
          </cell>
        </row>
        <row r="136">
          <cell r="G136">
            <v>366</v>
          </cell>
          <cell r="AP136">
            <v>0</v>
          </cell>
          <cell r="BM136">
            <v>10.5</v>
          </cell>
        </row>
        <row r="137">
          <cell r="G137">
            <v>368</v>
          </cell>
          <cell r="AP137">
            <v>3</v>
          </cell>
          <cell r="BM137" t="e">
            <v>#NULL!</v>
          </cell>
        </row>
        <row r="138">
          <cell r="G138">
            <v>370</v>
          </cell>
          <cell r="AP138">
            <v>2</v>
          </cell>
          <cell r="BM138" t="e">
            <v>#NULL!</v>
          </cell>
        </row>
        <row r="139">
          <cell r="G139">
            <v>372</v>
          </cell>
          <cell r="AP139">
            <v>1</v>
          </cell>
          <cell r="BM139">
            <v>27.7</v>
          </cell>
        </row>
        <row r="140">
          <cell r="G140">
            <v>374</v>
          </cell>
          <cell r="AP140">
            <v>0</v>
          </cell>
          <cell r="BM140">
            <v>23.6</v>
          </cell>
        </row>
        <row r="141">
          <cell r="G141">
            <v>376</v>
          </cell>
          <cell r="AP141">
            <v>0</v>
          </cell>
          <cell r="BM141">
            <v>9.8000000000000007</v>
          </cell>
        </row>
        <row r="142">
          <cell r="G142">
            <v>378</v>
          </cell>
          <cell r="AP142">
            <v>2</v>
          </cell>
          <cell r="BM142">
            <v>23.75</v>
          </cell>
        </row>
        <row r="143">
          <cell r="G143">
            <v>382</v>
          </cell>
          <cell r="AP143">
            <v>3</v>
          </cell>
          <cell r="BM143">
            <v>6.3</v>
          </cell>
        </row>
        <row r="144">
          <cell r="G144">
            <v>386</v>
          </cell>
          <cell r="AP144">
            <v>2</v>
          </cell>
          <cell r="BM144">
            <v>5.2</v>
          </cell>
        </row>
        <row r="145">
          <cell r="G145">
            <v>388</v>
          </cell>
          <cell r="AP145">
            <v>2</v>
          </cell>
          <cell r="BM145">
            <v>3.35</v>
          </cell>
        </row>
        <row r="146">
          <cell r="G146">
            <v>400</v>
          </cell>
          <cell r="AP146">
            <v>4</v>
          </cell>
          <cell r="BM146">
            <v>4.9000000000000004</v>
          </cell>
        </row>
        <row r="147">
          <cell r="G147">
            <v>402</v>
          </cell>
          <cell r="AP147">
            <v>5</v>
          </cell>
          <cell r="BM147">
            <v>17</v>
          </cell>
        </row>
        <row r="148">
          <cell r="G148">
            <v>404</v>
          </cell>
          <cell r="AP148">
            <v>0</v>
          </cell>
          <cell r="BM148">
            <v>22.3</v>
          </cell>
        </row>
        <row r="149">
          <cell r="G149">
            <v>408</v>
          </cell>
          <cell r="AP149">
            <v>0</v>
          </cell>
          <cell r="BM149">
            <v>10.55</v>
          </cell>
        </row>
        <row r="150">
          <cell r="G150">
            <v>410</v>
          </cell>
          <cell r="AP150">
            <v>3</v>
          </cell>
          <cell r="BM150">
            <v>9.3000000000000007</v>
          </cell>
        </row>
        <row r="151">
          <cell r="G151">
            <v>412</v>
          </cell>
          <cell r="AP151">
            <v>2</v>
          </cell>
          <cell r="BM151">
            <v>12.85</v>
          </cell>
        </row>
        <row r="152">
          <cell r="G152">
            <v>416</v>
          </cell>
          <cell r="AP152">
            <v>3</v>
          </cell>
          <cell r="BM152">
            <v>34.5</v>
          </cell>
        </row>
        <row r="153">
          <cell r="G153">
            <v>418</v>
          </cell>
          <cell r="AP153">
            <v>3</v>
          </cell>
          <cell r="BM153">
            <v>13.95</v>
          </cell>
        </row>
        <row r="154">
          <cell r="G154">
            <v>420</v>
          </cell>
          <cell r="AP154">
            <v>3</v>
          </cell>
          <cell r="BM154">
            <v>11.25</v>
          </cell>
        </row>
        <row r="155">
          <cell r="G155">
            <v>424</v>
          </cell>
          <cell r="AP155">
            <v>3</v>
          </cell>
          <cell r="BM155">
            <v>11.45</v>
          </cell>
        </row>
        <row r="156">
          <cell r="G156">
            <v>426</v>
          </cell>
          <cell r="AP156">
            <v>1</v>
          </cell>
          <cell r="BM156">
            <v>14.75</v>
          </cell>
        </row>
        <row r="157">
          <cell r="G157">
            <v>428</v>
          </cell>
          <cell r="AP157">
            <v>1</v>
          </cell>
          <cell r="BM157" t="e">
            <v>#NULL!</v>
          </cell>
        </row>
        <row r="158">
          <cell r="G158">
            <v>430</v>
          </cell>
          <cell r="AP158">
            <v>0</v>
          </cell>
          <cell r="BM158">
            <v>3.55</v>
          </cell>
        </row>
        <row r="159">
          <cell r="G159">
            <v>432</v>
          </cell>
          <cell r="AP159">
            <v>0</v>
          </cell>
          <cell r="BM159">
            <v>12.05</v>
          </cell>
        </row>
        <row r="160">
          <cell r="G160">
            <v>434</v>
          </cell>
          <cell r="AP160">
            <v>0</v>
          </cell>
          <cell r="BM160">
            <v>7.2</v>
          </cell>
        </row>
        <row r="161">
          <cell r="G161">
            <v>436</v>
          </cell>
          <cell r="AP161">
            <v>1</v>
          </cell>
          <cell r="BM161">
            <v>14</v>
          </cell>
        </row>
        <row r="162">
          <cell r="G162">
            <v>438</v>
          </cell>
          <cell r="AP162">
            <v>3</v>
          </cell>
          <cell r="BM162">
            <v>16.100000000000001</v>
          </cell>
        </row>
        <row r="163">
          <cell r="G163">
            <v>442</v>
          </cell>
          <cell r="AP163">
            <v>2</v>
          </cell>
          <cell r="BM163">
            <v>16.8</v>
          </cell>
        </row>
        <row r="164">
          <cell r="G164">
            <v>446</v>
          </cell>
          <cell r="AP164">
            <v>0</v>
          </cell>
          <cell r="BM164">
            <v>22.25</v>
          </cell>
        </row>
        <row r="165">
          <cell r="G165">
            <v>448</v>
          </cell>
          <cell r="AP165">
            <v>2</v>
          </cell>
          <cell r="BM165">
            <v>15.05</v>
          </cell>
        </row>
        <row r="166">
          <cell r="G166">
            <v>450</v>
          </cell>
          <cell r="AP166">
            <v>2</v>
          </cell>
          <cell r="BM166">
            <v>13.75</v>
          </cell>
        </row>
        <row r="167">
          <cell r="G167">
            <v>452</v>
          </cell>
          <cell r="AP167">
            <v>1</v>
          </cell>
          <cell r="BM167">
            <v>32.85</v>
          </cell>
        </row>
        <row r="168">
          <cell r="G168">
            <v>454</v>
          </cell>
          <cell r="AP168">
            <v>1</v>
          </cell>
          <cell r="BM168">
            <v>10.9</v>
          </cell>
        </row>
        <row r="169">
          <cell r="G169">
            <v>458</v>
          </cell>
          <cell r="AP169">
            <v>1</v>
          </cell>
          <cell r="BM169">
            <v>8.8000000000000007</v>
          </cell>
        </row>
        <row r="170">
          <cell r="G170">
            <v>462</v>
          </cell>
          <cell r="AP170">
            <v>1</v>
          </cell>
          <cell r="BM170">
            <v>8.4</v>
          </cell>
        </row>
        <row r="171">
          <cell r="G171">
            <v>464</v>
          </cell>
          <cell r="AP171">
            <v>3</v>
          </cell>
          <cell r="BM171">
            <v>20.25</v>
          </cell>
        </row>
        <row r="172">
          <cell r="G172">
            <v>472</v>
          </cell>
          <cell r="AP172">
            <v>1</v>
          </cell>
          <cell r="BM172">
            <v>13.15</v>
          </cell>
        </row>
        <row r="173">
          <cell r="G173">
            <v>476</v>
          </cell>
          <cell r="AP173">
            <v>3</v>
          </cell>
          <cell r="BM173" t="e">
            <v>#NULL!</v>
          </cell>
        </row>
        <row r="174">
          <cell r="G174">
            <v>478</v>
          </cell>
          <cell r="AP174">
            <v>0</v>
          </cell>
          <cell r="BM174">
            <v>14.1</v>
          </cell>
        </row>
        <row r="175">
          <cell r="G175">
            <v>480</v>
          </cell>
          <cell r="AP175">
            <v>3</v>
          </cell>
          <cell r="BM175">
            <v>13.45</v>
          </cell>
        </row>
        <row r="176">
          <cell r="G176">
            <v>482</v>
          </cell>
          <cell r="AP176">
            <v>2</v>
          </cell>
          <cell r="BM176">
            <v>59.8</v>
          </cell>
        </row>
        <row r="177">
          <cell r="G177">
            <v>486</v>
          </cell>
          <cell r="AP177">
            <v>0</v>
          </cell>
          <cell r="BM177">
            <v>21.95</v>
          </cell>
        </row>
        <row r="178">
          <cell r="G178">
            <v>488</v>
          </cell>
          <cell r="AP178">
            <v>4</v>
          </cell>
          <cell r="BM178">
            <v>18.100000000000001</v>
          </cell>
        </row>
        <row r="179">
          <cell r="G179">
            <v>490</v>
          </cell>
          <cell r="AP179">
            <v>1</v>
          </cell>
          <cell r="BM179">
            <v>15.6</v>
          </cell>
        </row>
        <row r="180">
          <cell r="G180">
            <v>498</v>
          </cell>
          <cell r="AP180">
            <v>0</v>
          </cell>
          <cell r="BM180">
            <v>4.0999999999999996</v>
          </cell>
        </row>
        <row r="181">
          <cell r="G181">
            <v>502</v>
          </cell>
          <cell r="AP181">
            <v>3</v>
          </cell>
          <cell r="BM181">
            <v>10.55</v>
          </cell>
        </row>
        <row r="182">
          <cell r="G182">
            <v>504</v>
          </cell>
          <cell r="AP182">
            <v>6</v>
          </cell>
          <cell r="BM182">
            <v>22.6</v>
          </cell>
        </row>
        <row r="183">
          <cell r="G183">
            <v>508</v>
          </cell>
          <cell r="AP183">
            <v>0</v>
          </cell>
          <cell r="BM183">
            <v>1.65</v>
          </cell>
        </row>
        <row r="184">
          <cell r="G184">
            <v>514</v>
          </cell>
          <cell r="AP184">
            <v>5</v>
          </cell>
          <cell r="BM184">
            <v>5.55</v>
          </cell>
        </row>
        <row r="185">
          <cell r="G185">
            <v>516</v>
          </cell>
          <cell r="AP185">
            <v>1</v>
          </cell>
          <cell r="BM185">
            <v>9.15</v>
          </cell>
        </row>
        <row r="186">
          <cell r="G186">
            <v>518</v>
          </cell>
          <cell r="AP186">
            <v>2</v>
          </cell>
          <cell r="BM186">
            <v>5.75</v>
          </cell>
        </row>
        <row r="187">
          <cell r="G187">
            <v>520</v>
          </cell>
          <cell r="AP187">
            <v>0</v>
          </cell>
          <cell r="BM187">
            <v>11.7</v>
          </cell>
        </row>
        <row r="188">
          <cell r="G188">
            <v>522</v>
          </cell>
          <cell r="AP188">
            <v>0</v>
          </cell>
          <cell r="BM188">
            <v>27.2</v>
          </cell>
        </row>
        <row r="189">
          <cell r="G189">
            <v>524</v>
          </cell>
          <cell r="AP189">
            <v>9</v>
          </cell>
          <cell r="BM189">
            <v>14.6</v>
          </cell>
        </row>
        <row r="190">
          <cell r="G190">
            <v>526</v>
          </cell>
          <cell r="AP190">
            <v>0</v>
          </cell>
          <cell r="BM190">
            <v>28.95</v>
          </cell>
        </row>
        <row r="191">
          <cell r="G191">
            <v>528</v>
          </cell>
          <cell r="AP191">
            <v>2</v>
          </cell>
          <cell r="BM191">
            <v>17.850000000000001</v>
          </cell>
        </row>
        <row r="192">
          <cell r="G192">
            <v>530</v>
          </cell>
          <cell r="AP192">
            <v>1</v>
          </cell>
          <cell r="BM192">
            <v>10.55</v>
          </cell>
        </row>
        <row r="193">
          <cell r="G193">
            <v>532</v>
          </cell>
          <cell r="AP193">
            <v>0</v>
          </cell>
          <cell r="BM193">
            <v>17.850000000000001</v>
          </cell>
        </row>
        <row r="194">
          <cell r="G194">
            <v>534</v>
          </cell>
          <cell r="AP194">
            <v>1</v>
          </cell>
          <cell r="BM194">
            <v>6.1</v>
          </cell>
        </row>
        <row r="195">
          <cell r="G195">
            <v>536</v>
          </cell>
          <cell r="AP195">
            <v>1</v>
          </cell>
          <cell r="BM195" t="e">
            <v>#NULL!</v>
          </cell>
        </row>
        <row r="196">
          <cell r="G196">
            <v>540</v>
          </cell>
          <cell r="AP196">
            <v>0</v>
          </cell>
          <cell r="BM196" t="e">
            <v>#NULL!</v>
          </cell>
        </row>
        <row r="197">
          <cell r="G197">
            <v>542</v>
          </cell>
          <cell r="AP197">
            <v>1</v>
          </cell>
          <cell r="BM197" t="e">
            <v>#NULL!</v>
          </cell>
        </row>
        <row r="198">
          <cell r="G198">
            <v>544</v>
          </cell>
          <cell r="AP198">
            <v>5</v>
          </cell>
          <cell r="BM198" t="e">
            <v>#NULL!</v>
          </cell>
        </row>
        <row r="199">
          <cell r="G199">
            <v>546</v>
          </cell>
          <cell r="AP199">
            <v>1</v>
          </cell>
          <cell r="BM199" t="e">
            <v>#NULL!</v>
          </cell>
        </row>
        <row r="200">
          <cell r="G200">
            <v>550</v>
          </cell>
          <cell r="AP200">
            <v>3</v>
          </cell>
          <cell r="BM200" t="e">
            <v>#NULL!</v>
          </cell>
        </row>
        <row r="201">
          <cell r="G201">
            <v>552</v>
          </cell>
          <cell r="AP201">
            <v>1</v>
          </cell>
          <cell r="BM201" t="e">
            <v>#NULL!</v>
          </cell>
        </row>
        <row r="202">
          <cell r="G202">
            <v>558</v>
          </cell>
          <cell r="AP202">
            <v>1</v>
          </cell>
          <cell r="BM202" t="e">
            <v>#NULL!</v>
          </cell>
        </row>
        <row r="203">
          <cell r="G203">
            <v>566</v>
          </cell>
          <cell r="AP203">
            <v>0</v>
          </cell>
          <cell r="BM203" t="e">
            <v>#NULL!</v>
          </cell>
        </row>
        <row r="204">
          <cell r="G204">
            <v>570</v>
          </cell>
          <cell r="AP204">
            <v>1</v>
          </cell>
          <cell r="BM204" t="e">
            <v>#NULL!</v>
          </cell>
        </row>
        <row r="205">
          <cell r="G205">
            <v>572</v>
          </cell>
          <cell r="AP205">
            <v>3</v>
          </cell>
          <cell r="BM205" t="e">
            <v>#NULL!</v>
          </cell>
        </row>
        <row r="206">
          <cell r="G206">
            <v>574</v>
          </cell>
          <cell r="AP206">
            <v>4</v>
          </cell>
          <cell r="BM206" t="e">
            <v>#NULL!</v>
          </cell>
        </row>
        <row r="207">
          <cell r="G207">
            <v>576</v>
          </cell>
          <cell r="AP207">
            <v>0</v>
          </cell>
          <cell r="BM207" t="e">
            <v>#NULL!</v>
          </cell>
        </row>
        <row r="208">
          <cell r="G208">
            <v>578</v>
          </cell>
          <cell r="AP208">
            <v>2</v>
          </cell>
          <cell r="BM208" t="e">
            <v>#NULL!</v>
          </cell>
        </row>
        <row r="209">
          <cell r="G209">
            <v>582</v>
          </cell>
          <cell r="AP209">
            <v>2</v>
          </cell>
          <cell r="BM209" t="e">
            <v>#NULL!</v>
          </cell>
        </row>
        <row r="210">
          <cell r="G210">
            <v>584</v>
          </cell>
          <cell r="AP210">
            <v>7</v>
          </cell>
          <cell r="BM210" t="e">
            <v>#NULL!</v>
          </cell>
        </row>
        <row r="211">
          <cell r="G211">
            <v>586</v>
          </cell>
          <cell r="AP211">
            <v>2</v>
          </cell>
          <cell r="BM211" t="e">
            <v>#NULL!</v>
          </cell>
        </row>
        <row r="212">
          <cell r="G212">
            <v>588</v>
          </cell>
          <cell r="AP212">
            <v>5</v>
          </cell>
          <cell r="BM212" t="e">
            <v>#NULL!</v>
          </cell>
        </row>
        <row r="213">
          <cell r="G213">
            <v>594</v>
          </cell>
          <cell r="AP213">
            <v>0</v>
          </cell>
          <cell r="BM213" t="e">
            <v>#NULL!</v>
          </cell>
        </row>
        <row r="214">
          <cell r="G214">
            <v>600</v>
          </cell>
          <cell r="AP214">
            <v>2</v>
          </cell>
          <cell r="BM214" t="e">
            <v>#NULL!</v>
          </cell>
        </row>
        <row r="215">
          <cell r="G215">
            <v>8</v>
          </cell>
          <cell r="AP215">
            <v>2</v>
          </cell>
          <cell r="BM215">
            <v>14.65</v>
          </cell>
        </row>
        <row r="216">
          <cell r="G216">
            <v>10</v>
          </cell>
          <cell r="AP216">
            <v>2</v>
          </cell>
          <cell r="BM216" t="e">
            <v>#NULL!</v>
          </cell>
        </row>
        <row r="217">
          <cell r="G217">
            <v>14</v>
          </cell>
          <cell r="AP217">
            <v>1</v>
          </cell>
          <cell r="BM217">
            <v>8.35</v>
          </cell>
        </row>
        <row r="218">
          <cell r="G218">
            <v>20</v>
          </cell>
          <cell r="AP218">
            <v>2</v>
          </cell>
          <cell r="BM218">
            <v>12.1</v>
          </cell>
        </row>
        <row r="219">
          <cell r="G219">
            <v>28</v>
          </cell>
          <cell r="AP219">
            <v>4</v>
          </cell>
          <cell r="BM219">
            <v>17.45</v>
          </cell>
        </row>
        <row r="220">
          <cell r="G220">
            <v>44</v>
          </cell>
          <cell r="AP220">
            <v>0</v>
          </cell>
          <cell r="BM220">
            <v>17.100000000000001</v>
          </cell>
        </row>
        <row r="221">
          <cell r="G221">
            <v>64</v>
          </cell>
          <cell r="AP221">
            <v>0</v>
          </cell>
          <cell r="BM221">
            <v>13.4</v>
          </cell>
        </row>
        <row r="222">
          <cell r="G222">
            <v>66</v>
          </cell>
          <cell r="AP222">
            <v>1</v>
          </cell>
          <cell r="BM222">
            <v>26.35</v>
          </cell>
        </row>
        <row r="223">
          <cell r="G223">
            <v>76</v>
          </cell>
          <cell r="AP223">
            <v>2</v>
          </cell>
          <cell r="BM223">
            <v>24.65</v>
          </cell>
        </row>
        <row r="224">
          <cell r="G224">
            <v>80</v>
          </cell>
          <cell r="AP224">
            <v>3</v>
          </cell>
          <cell r="BM224">
            <v>29.3</v>
          </cell>
        </row>
        <row r="225">
          <cell r="G225">
            <v>94</v>
          </cell>
          <cell r="AP225">
            <v>3</v>
          </cell>
          <cell r="BM225">
            <v>9.6999999999999993</v>
          </cell>
        </row>
        <row r="226">
          <cell r="G226">
            <v>96</v>
          </cell>
          <cell r="AP226">
            <v>1</v>
          </cell>
          <cell r="BM226">
            <v>8.15</v>
          </cell>
        </row>
        <row r="227">
          <cell r="G227">
            <v>108</v>
          </cell>
          <cell r="AP227">
            <v>1</v>
          </cell>
          <cell r="BM227">
            <v>11.7</v>
          </cell>
        </row>
        <row r="228">
          <cell r="G228">
            <v>116</v>
          </cell>
          <cell r="AP228">
            <v>2</v>
          </cell>
          <cell r="BM228">
            <v>16.05</v>
          </cell>
        </row>
        <row r="229">
          <cell r="G229">
            <v>120</v>
          </cell>
          <cell r="AP229">
            <v>3</v>
          </cell>
          <cell r="BM229">
            <v>12.55</v>
          </cell>
        </row>
        <row r="230">
          <cell r="G230">
            <v>134</v>
          </cell>
          <cell r="AP230">
            <v>1</v>
          </cell>
          <cell r="BM230">
            <v>16.95</v>
          </cell>
        </row>
        <row r="231">
          <cell r="G231">
            <v>136</v>
          </cell>
          <cell r="AP231">
            <v>0</v>
          </cell>
          <cell r="BM231">
            <v>23.55</v>
          </cell>
        </row>
        <row r="232">
          <cell r="G232">
            <v>148</v>
          </cell>
          <cell r="AP232">
            <v>3</v>
          </cell>
          <cell r="BM232">
            <v>10.75</v>
          </cell>
        </row>
        <row r="233">
          <cell r="G233">
            <v>158</v>
          </cell>
          <cell r="AP233">
            <v>1</v>
          </cell>
          <cell r="BM233">
            <v>20.6</v>
          </cell>
        </row>
        <row r="234">
          <cell r="G234">
            <v>160</v>
          </cell>
          <cell r="AP234">
            <v>1</v>
          </cell>
          <cell r="BM234">
            <v>27.55</v>
          </cell>
        </row>
        <row r="235">
          <cell r="G235">
            <v>162</v>
          </cell>
          <cell r="AP235">
            <v>0</v>
          </cell>
          <cell r="BM235">
            <v>14.65</v>
          </cell>
        </row>
        <row r="236">
          <cell r="G236">
            <v>164</v>
          </cell>
          <cell r="AP236">
            <v>2</v>
          </cell>
          <cell r="BM236">
            <v>13.7</v>
          </cell>
        </row>
        <row r="237">
          <cell r="G237">
            <v>166</v>
          </cell>
          <cell r="AP237">
            <v>3</v>
          </cell>
          <cell r="BM237">
            <v>5</v>
          </cell>
        </row>
        <row r="238">
          <cell r="G238">
            <v>168</v>
          </cell>
          <cell r="AP238">
            <v>2</v>
          </cell>
          <cell r="BM238">
            <v>25</v>
          </cell>
        </row>
        <row r="239">
          <cell r="G239">
            <v>174</v>
          </cell>
          <cell r="AP239">
            <v>1</v>
          </cell>
          <cell r="BM239">
            <v>27.6</v>
          </cell>
        </row>
        <row r="240">
          <cell r="G240">
            <v>176</v>
          </cell>
          <cell r="AP240">
            <v>0</v>
          </cell>
          <cell r="BM240">
            <v>14.6</v>
          </cell>
        </row>
        <row r="241">
          <cell r="G241">
            <v>182</v>
          </cell>
          <cell r="AP241">
            <v>0</v>
          </cell>
          <cell r="BM241">
            <v>10.25</v>
          </cell>
        </row>
        <row r="242">
          <cell r="G242">
            <v>186</v>
          </cell>
          <cell r="AP242">
            <v>2</v>
          </cell>
          <cell r="BM242">
            <v>9.6</v>
          </cell>
        </row>
        <row r="243">
          <cell r="G243">
            <v>188</v>
          </cell>
          <cell r="AP243">
            <v>2</v>
          </cell>
          <cell r="BM243">
            <v>18.7</v>
          </cell>
        </row>
        <row r="244">
          <cell r="G244">
            <v>190</v>
          </cell>
          <cell r="AP244">
            <v>1</v>
          </cell>
          <cell r="BM244">
            <v>21.15</v>
          </cell>
        </row>
        <row r="245">
          <cell r="G245">
            <v>192</v>
          </cell>
          <cell r="AP245">
            <v>2</v>
          </cell>
          <cell r="BM245">
            <v>37.700000000000003</v>
          </cell>
        </row>
        <row r="246">
          <cell r="G246">
            <v>196</v>
          </cell>
          <cell r="AP246">
            <v>1</v>
          </cell>
          <cell r="BM246">
            <v>29.05</v>
          </cell>
        </row>
        <row r="247">
          <cell r="G247">
            <v>198</v>
          </cell>
          <cell r="AP247">
            <v>4</v>
          </cell>
          <cell r="BM247">
            <v>17.8</v>
          </cell>
        </row>
        <row r="248">
          <cell r="G248">
            <v>214</v>
          </cell>
          <cell r="AP248">
            <v>5</v>
          </cell>
          <cell r="BM248">
            <v>11.15</v>
          </cell>
        </row>
        <row r="249">
          <cell r="G249">
            <v>226</v>
          </cell>
          <cell r="AP249">
            <v>2</v>
          </cell>
          <cell r="BM249">
            <v>10.45</v>
          </cell>
        </row>
        <row r="250">
          <cell r="G250">
            <v>234</v>
          </cell>
          <cell r="AP250">
            <v>2</v>
          </cell>
          <cell r="BM250">
            <v>23.1</v>
          </cell>
        </row>
        <row r="251">
          <cell r="G251">
            <v>236</v>
          </cell>
          <cell r="AP251">
            <v>0</v>
          </cell>
          <cell r="BM251">
            <v>6.2</v>
          </cell>
        </row>
        <row r="252">
          <cell r="G252">
            <v>242</v>
          </cell>
          <cell r="AP252">
            <v>0</v>
          </cell>
          <cell r="BM252">
            <v>22.85</v>
          </cell>
        </row>
        <row r="253">
          <cell r="G253">
            <v>254</v>
          </cell>
          <cell r="AP253">
            <v>1</v>
          </cell>
          <cell r="BM253">
            <v>4.45</v>
          </cell>
        </row>
        <row r="254">
          <cell r="G254">
            <v>262</v>
          </cell>
          <cell r="AP254">
            <v>0</v>
          </cell>
          <cell r="BM254">
            <v>18.899999999999999</v>
          </cell>
        </row>
        <row r="255">
          <cell r="G255">
            <v>264</v>
          </cell>
          <cell r="AP255">
            <v>0</v>
          </cell>
          <cell r="BM255">
            <v>5.75</v>
          </cell>
        </row>
        <row r="256">
          <cell r="G256">
            <v>274</v>
          </cell>
          <cell r="AP256">
            <v>2</v>
          </cell>
          <cell r="BM256">
            <v>18.05</v>
          </cell>
        </row>
        <row r="257">
          <cell r="G257">
            <v>280</v>
          </cell>
          <cell r="AP257">
            <v>3</v>
          </cell>
          <cell r="BM257">
            <v>32.75</v>
          </cell>
        </row>
        <row r="258">
          <cell r="G258">
            <v>286</v>
          </cell>
          <cell r="AP258">
            <v>2</v>
          </cell>
          <cell r="BM258">
            <v>12.1</v>
          </cell>
        </row>
        <row r="259">
          <cell r="G259">
            <v>294</v>
          </cell>
          <cell r="AP259">
            <v>0</v>
          </cell>
          <cell r="BM259">
            <v>6.95</v>
          </cell>
        </row>
        <row r="260">
          <cell r="G260">
            <v>302</v>
          </cell>
          <cell r="AP260">
            <v>4</v>
          </cell>
          <cell r="BM260">
            <v>13.7</v>
          </cell>
        </row>
        <row r="261">
          <cell r="G261">
            <v>336</v>
          </cell>
          <cell r="AP261">
            <v>4</v>
          </cell>
          <cell r="BM261" t="e">
            <v>#NULL!</v>
          </cell>
        </row>
        <row r="262">
          <cell r="G262">
            <v>348</v>
          </cell>
          <cell r="AP262">
            <v>2</v>
          </cell>
          <cell r="BM262">
            <v>15.4</v>
          </cell>
        </row>
        <row r="263">
          <cell r="G263">
            <v>352</v>
          </cell>
          <cell r="AP263">
            <v>1</v>
          </cell>
          <cell r="BM263">
            <v>16.3</v>
          </cell>
        </row>
        <row r="264">
          <cell r="G264">
            <v>354</v>
          </cell>
          <cell r="AP264">
            <v>1</v>
          </cell>
          <cell r="BM264">
            <v>30.3</v>
          </cell>
        </row>
        <row r="265">
          <cell r="G265">
            <v>360</v>
          </cell>
          <cell r="AP265">
            <v>0</v>
          </cell>
          <cell r="BM265">
            <v>21.1</v>
          </cell>
        </row>
        <row r="266">
          <cell r="G266">
            <v>364</v>
          </cell>
          <cell r="AP266">
            <v>4</v>
          </cell>
          <cell r="BM266">
            <v>48.6</v>
          </cell>
        </row>
        <row r="267">
          <cell r="G267">
            <v>380</v>
          </cell>
          <cell r="AP267">
            <v>2</v>
          </cell>
          <cell r="BM267">
            <v>18.350000000000001</v>
          </cell>
        </row>
        <row r="268">
          <cell r="G268">
            <v>384</v>
          </cell>
          <cell r="AP268">
            <v>5</v>
          </cell>
          <cell r="BM268">
            <v>7.65</v>
          </cell>
        </row>
        <row r="269">
          <cell r="G269">
            <v>390</v>
          </cell>
          <cell r="AP269">
            <v>4</v>
          </cell>
          <cell r="BM269">
            <v>21.7</v>
          </cell>
        </row>
        <row r="270">
          <cell r="G270">
            <v>392</v>
          </cell>
          <cell r="AP270">
            <v>6</v>
          </cell>
          <cell r="BM270">
            <v>5.0999999999999996</v>
          </cell>
        </row>
        <row r="271">
          <cell r="G271">
            <v>396</v>
          </cell>
          <cell r="AP271">
            <v>0</v>
          </cell>
          <cell r="BM271">
            <v>4.7</v>
          </cell>
        </row>
        <row r="272">
          <cell r="G272">
            <v>398</v>
          </cell>
          <cell r="AP272">
            <v>1</v>
          </cell>
          <cell r="BM272">
            <v>8.9499999999999993</v>
          </cell>
        </row>
        <row r="273">
          <cell r="G273">
            <v>406</v>
          </cell>
          <cell r="AP273">
            <v>1</v>
          </cell>
          <cell r="BM273">
            <v>21.1</v>
          </cell>
        </row>
        <row r="274">
          <cell r="G274">
            <v>414</v>
          </cell>
          <cell r="AP274">
            <v>2</v>
          </cell>
          <cell r="BM274">
            <v>15.4</v>
          </cell>
        </row>
        <row r="275">
          <cell r="G275">
            <v>440</v>
          </cell>
          <cell r="AP275">
            <v>2</v>
          </cell>
          <cell r="BM275">
            <v>17.649999999999999</v>
          </cell>
        </row>
        <row r="276">
          <cell r="G276">
            <v>444</v>
          </cell>
          <cell r="AP276">
            <v>0</v>
          </cell>
          <cell r="BM276">
            <v>17.3</v>
          </cell>
        </row>
        <row r="277">
          <cell r="G277">
            <v>456</v>
          </cell>
          <cell r="AP277">
            <v>1</v>
          </cell>
          <cell r="BM277">
            <v>13.6</v>
          </cell>
        </row>
        <row r="278">
          <cell r="G278">
            <v>460</v>
          </cell>
          <cell r="AP278">
            <v>0</v>
          </cell>
          <cell r="BM278">
            <v>6</v>
          </cell>
        </row>
        <row r="279">
          <cell r="G279">
            <v>466</v>
          </cell>
          <cell r="AP279">
            <v>1</v>
          </cell>
          <cell r="BM279">
            <v>16.149999999999999</v>
          </cell>
        </row>
        <row r="280">
          <cell r="G280">
            <v>468</v>
          </cell>
          <cell r="AP280">
            <v>1</v>
          </cell>
          <cell r="BM280">
            <v>4.6500000000000004</v>
          </cell>
        </row>
        <row r="281">
          <cell r="G281">
            <v>470</v>
          </cell>
          <cell r="AP281">
            <v>0</v>
          </cell>
          <cell r="BM281">
            <v>24.35</v>
          </cell>
        </row>
        <row r="282">
          <cell r="G282">
            <v>474</v>
          </cell>
          <cell r="AP282">
            <v>3</v>
          </cell>
          <cell r="BM282">
            <v>15.7</v>
          </cell>
        </row>
        <row r="283">
          <cell r="G283">
            <v>484</v>
          </cell>
          <cell r="AP283">
            <v>4</v>
          </cell>
          <cell r="BM283">
            <v>15.95</v>
          </cell>
        </row>
        <row r="284">
          <cell r="G284">
            <v>492</v>
          </cell>
          <cell r="AP284">
            <v>3</v>
          </cell>
          <cell r="BM284">
            <v>20</v>
          </cell>
        </row>
        <row r="285">
          <cell r="G285">
            <v>494</v>
          </cell>
          <cell r="AP285">
            <v>7</v>
          </cell>
          <cell r="BM285">
            <v>14</v>
          </cell>
        </row>
        <row r="286">
          <cell r="G286">
            <v>496</v>
          </cell>
          <cell r="AP286">
            <v>4</v>
          </cell>
          <cell r="BM286">
            <v>4.9000000000000004</v>
          </cell>
        </row>
        <row r="287">
          <cell r="G287">
            <v>500</v>
          </cell>
          <cell r="AP287">
            <v>1</v>
          </cell>
          <cell r="BM287">
            <v>16.649999999999999</v>
          </cell>
        </row>
        <row r="288">
          <cell r="G288">
            <v>506</v>
          </cell>
          <cell r="AP288">
            <v>6</v>
          </cell>
          <cell r="BM288">
            <v>10.55</v>
          </cell>
        </row>
        <row r="289">
          <cell r="G289">
            <v>512</v>
          </cell>
          <cell r="AP289">
            <v>5</v>
          </cell>
          <cell r="BM289">
            <v>20.8</v>
          </cell>
        </row>
        <row r="290">
          <cell r="G290">
            <v>538</v>
          </cell>
          <cell r="AP290">
            <v>4</v>
          </cell>
          <cell r="BM290" t="e">
            <v>#NULL!</v>
          </cell>
        </row>
        <row r="291">
          <cell r="G291">
            <v>548</v>
          </cell>
          <cell r="AP291">
            <v>3</v>
          </cell>
          <cell r="BM291" t="e">
            <v>#NULL!</v>
          </cell>
        </row>
        <row r="292">
          <cell r="G292">
            <v>554</v>
          </cell>
          <cell r="AP292">
            <v>0</v>
          </cell>
          <cell r="BM292" t="e">
            <v>#NULL!</v>
          </cell>
        </row>
        <row r="293">
          <cell r="G293">
            <v>556</v>
          </cell>
          <cell r="AP293">
            <v>0</v>
          </cell>
          <cell r="BM293" t="e">
            <v>#NULL!</v>
          </cell>
        </row>
        <row r="294">
          <cell r="G294">
            <v>560</v>
          </cell>
          <cell r="AP294">
            <v>5</v>
          </cell>
          <cell r="BM294" t="e">
            <v>#NULL!</v>
          </cell>
        </row>
        <row r="295">
          <cell r="G295">
            <v>562</v>
          </cell>
          <cell r="AP295">
            <v>1</v>
          </cell>
          <cell r="BM295" t="e">
            <v>#NULL!</v>
          </cell>
        </row>
        <row r="296">
          <cell r="G296">
            <v>564</v>
          </cell>
          <cell r="AP296">
            <v>1</v>
          </cell>
          <cell r="BM296" t="e">
            <v>#NULL!</v>
          </cell>
        </row>
        <row r="297">
          <cell r="G297">
            <v>568</v>
          </cell>
          <cell r="AP297">
            <v>4</v>
          </cell>
          <cell r="BM297" t="e">
            <v>#NULL!</v>
          </cell>
        </row>
        <row r="298">
          <cell r="G298">
            <v>580</v>
          </cell>
          <cell r="AP298">
            <v>5</v>
          </cell>
          <cell r="BM298" t="e">
            <v>#NULL!</v>
          </cell>
        </row>
        <row r="299">
          <cell r="G299">
            <v>590</v>
          </cell>
          <cell r="AP299">
            <v>1</v>
          </cell>
          <cell r="BM299" t="e">
            <v>#NULL!</v>
          </cell>
        </row>
        <row r="300">
          <cell r="G300">
            <v>592</v>
          </cell>
          <cell r="AP300">
            <v>6</v>
          </cell>
          <cell r="BM300" t="e">
            <v>#NULL!</v>
          </cell>
        </row>
        <row r="301">
          <cell r="G301">
            <v>596</v>
          </cell>
          <cell r="AP301">
            <v>1</v>
          </cell>
          <cell r="BM301" t="e">
            <v>#NULL!</v>
          </cell>
        </row>
        <row r="302">
          <cell r="G302">
            <v>598</v>
          </cell>
          <cell r="AP302">
            <v>0</v>
          </cell>
          <cell r="BM302" t="e">
            <v>#NULL!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5C06-87E0-4CFF-90B7-EDB6E6CE2C64}">
  <dimension ref="A1:AL301"/>
  <sheetViews>
    <sheetView tabSelected="1" topLeftCell="T1" workbookViewId="0">
      <selection activeCell="AA308" sqref="AA308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37</v>
      </c>
      <c r="AL1" t="s">
        <v>38</v>
      </c>
    </row>
    <row r="2" spans="1:38" x14ac:dyDescent="0.25">
      <c r="A2">
        <v>2</v>
      </c>
      <c r="B2">
        <v>1</v>
      </c>
      <c r="C2">
        <v>2</v>
      </c>
      <c r="D2">
        <v>0</v>
      </c>
      <c r="E2">
        <v>1</v>
      </c>
      <c r="F2">
        <v>1</v>
      </c>
      <c r="G2">
        <v>1</v>
      </c>
      <c r="H2">
        <v>14.8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5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>
        <v>16.100000000000001</v>
      </c>
      <c r="X2">
        <v>1</v>
      </c>
      <c r="Y2">
        <v>0</v>
      </c>
      <c r="Z2">
        <v>0</v>
      </c>
      <c r="AA2">
        <v>0</v>
      </c>
      <c r="AB2">
        <v>0</v>
      </c>
      <c r="AC2">
        <v>1</v>
      </c>
      <c r="AD2">
        <v>5</v>
      </c>
      <c r="AE2">
        <v>173.5</v>
      </c>
      <c r="AF2">
        <v>1.7350000000000001</v>
      </c>
      <c r="AG2">
        <v>3.0102250000000002</v>
      </c>
      <c r="AH2">
        <v>73.300003000000004</v>
      </c>
      <c r="AI2">
        <v>24.350340259999999</v>
      </c>
      <c r="AJ2">
        <v>0</v>
      </c>
      <c r="AK2">
        <f>_xlfn.XLOOKUP(C2,[1]SPACE_GSS_3!$G:$G,[1]SPACE_GSS_3!$AP:$AP)</f>
        <v>3</v>
      </c>
      <c r="AL2">
        <f>_xlfn.XLOOKUP(C2,[1]SPACE_GSS_3!$G:$G,[1]SPACE_GSS_3!$BM:$BM)</f>
        <v>15.1</v>
      </c>
    </row>
    <row r="3" spans="1:38" x14ac:dyDescent="0.25">
      <c r="A3">
        <v>7</v>
      </c>
      <c r="B3">
        <v>3</v>
      </c>
      <c r="C3">
        <v>4</v>
      </c>
      <c r="D3">
        <v>0</v>
      </c>
      <c r="E3">
        <v>1</v>
      </c>
      <c r="F3">
        <v>1</v>
      </c>
      <c r="G3">
        <v>1</v>
      </c>
      <c r="H3">
        <v>13.8</v>
      </c>
      <c r="I3">
        <v>2</v>
      </c>
      <c r="J3">
        <v>0</v>
      </c>
      <c r="K3">
        <v>0</v>
      </c>
      <c r="L3">
        <v>0</v>
      </c>
      <c r="M3">
        <v>0</v>
      </c>
      <c r="N3">
        <v>1</v>
      </c>
      <c r="O3">
        <v>4</v>
      </c>
      <c r="P3">
        <v>157</v>
      </c>
      <c r="Q3">
        <v>1.57</v>
      </c>
      <c r="R3">
        <v>2.4649000000000001</v>
      </c>
      <c r="S3">
        <v>44.200001</v>
      </c>
      <c r="T3">
        <v>17.931762339999999</v>
      </c>
      <c r="U3">
        <v>-0.1</v>
      </c>
      <c r="V3" t="s">
        <v>36</v>
      </c>
      <c r="W3">
        <v>15.2</v>
      </c>
      <c r="X3">
        <v>2</v>
      </c>
      <c r="Y3">
        <v>0</v>
      </c>
      <c r="Z3">
        <v>0</v>
      </c>
      <c r="AA3">
        <v>0</v>
      </c>
      <c r="AB3">
        <v>0</v>
      </c>
      <c r="AC3">
        <v>1</v>
      </c>
      <c r="AD3">
        <v>4</v>
      </c>
      <c r="AE3">
        <v>159.30000000000001</v>
      </c>
      <c r="AF3">
        <v>1.593</v>
      </c>
      <c r="AG3">
        <v>2.537649</v>
      </c>
      <c r="AH3">
        <v>48.099997999999999</v>
      </c>
      <c r="AI3">
        <v>18.954551240000001</v>
      </c>
      <c r="AJ3">
        <v>0</v>
      </c>
      <c r="AK3">
        <f>_xlfn.XLOOKUP(C3,[1]SPACE_GSS_3!$G:$G,[1]SPACE_GSS_3!$AP:$AP)</f>
        <v>2</v>
      </c>
      <c r="AL3">
        <f>_xlfn.XLOOKUP(C3,[1]SPACE_GSS_3!$G:$G,[1]SPACE_GSS_3!$BM:$BM)</f>
        <v>30.15</v>
      </c>
    </row>
    <row r="4" spans="1:38" x14ac:dyDescent="0.25">
      <c r="A4">
        <v>5</v>
      </c>
      <c r="B4">
        <v>5</v>
      </c>
      <c r="C4">
        <v>6</v>
      </c>
      <c r="D4">
        <v>0</v>
      </c>
      <c r="E4">
        <v>1</v>
      </c>
      <c r="F4">
        <v>1</v>
      </c>
      <c r="G4">
        <v>1</v>
      </c>
      <c r="H4">
        <v>13.8</v>
      </c>
      <c r="I4">
        <v>2</v>
      </c>
      <c r="J4">
        <v>0</v>
      </c>
      <c r="K4">
        <v>0</v>
      </c>
      <c r="L4">
        <v>0</v>
      </c>
      <c r="M4">
        <v>0</v>
      </c>
      <c r="N4">
        <v>1</v>
      </c>
      <c r="O4">
        <v>5</v>
      </c>
      <c r="P4">
        <v>166</v>
      </c>
      <c r="Q4">
        <v>1.66</v>
      </c>
      <c r="R4">
        <v>2.7555999999999998</v>
      </c>
      <c r="S4">
        <v>45.700001</v>
      </c>
      <c r="T4">
        <v>16.584410290000001</v>
      </c>
      <c r="U4">
        <v>0</v>
      </c>
      <c r="V4" t="s">
        <v>36</v>
      </c>
      <c r="W4">
        <v>15.2</v>
      </c>
      <c r="X4">
        <v>2</v>
      </c>
      <c r="Y4">
        <v>0</v>
      </c>
      <c r="Z4">
        <v>0</v>
      </c>
      <c r="AA4">
        <v>0</v>
      </c>
      <c r="AB4">
        <v>0</v>
      </c>
      <c r="AC4">
        <v>1</v>
      </c>
      <c r="AD4">
        <v>5</v>
      </c>
      <c r="AE4">
        <v>167.39999</v>
      </c>
      <c r="AF4">
        <v>1.6739999000000001</v>
      </c>
      <c r="AG4">
        <v>2.8022756649999998</v>
      </c>
      <c r="AH4">
        <v>59.400002000000001</v>
      </c>
      <c r="AI4">
        <v>21.197058779999999</v>
      </c>
      <c r="AJ4">
        <v>0</v>
      </c>
      <c r="AK4">
        <f>_xlfn.XLOOKUP(C4,[1]SPACE_GSS_3!$G:$G,[1]SPACE_GSS_3!$AP:$AP)</f>
        <v>3</v>
      </c>
      <c r="AL4">
        <f>_xlfn.XLOOKUP(C4,[1]SPACE_GSS_3!$G:$G,[1]SPACE_GSS_3!$BM:$BM)</f>
        <v>11.05</v>
      </c>
    </row>
    <row r="5" spans="1:38" x14ac:dyDescent="0.25">
      <c r="A5">
        <v>13</v>
      </c>
      <c r="B5">
        <v>7</v>
      </c>
      <c r="C5">
        <v>8</v>
      </c>
      <c r="D5">
        <v>0</v>
      </c>
      <c r="E5">
        <v>1</v>
      </c>
      <c r="F5">
        <v>1</v>
      </c>
      <c r="G5">
        <v>1</v>
      </c>
      <c r="H5">
        <v>14.6</v>
      </c>
      <c r="I5">
        <v>2</v>
      </c>
      <c r="J5">
        <v>0</v>
      </c>
      <c r="K5">
        <v>0</v>
      </c>
      <c r="L5">
        <v>0</v>
      </c>
      <c r="M5">
        <v>0</v>
      </c>
      <c r="N5">
        <v>1</v>
      </c>
      <c r="O5">
        <v>5</v>
      </c>
      <c r="P5">
        <v>156</v>
      </c>
      <c r="Q5">
        <v>1.56</v>
      </c>
      <c r="R5">
        <v>2.4336000000000002</v>
      </c>
      <c r="S5">
        <v>49.200001</v>
      </c>
      <c r="T5">
        <v>20.216962939999998</v>
      </c>
      <c r="U5">
        <v>0.1</v>
      </c>
      <c r="V5" t="s">
        <v>36</v>
      </c>
      <c r="W5">
        <v>16.100000000000001</v>
      </c>
      <c r="X5">
        <v>2</v>
      </c>
      <c r="Y5">
        <v>0</v>
      </c>
      <c r="Z5">
        <v>0</v>
      </c>
      <c r="AA5">
        <v>0</v>
      </c>
      <c r="AB5">
        <v>0</v>
      </c>
      <c r="AC5">
        <v>1</v>
      </c>
      <c r="AD5">
        <v>5</v>
      </c>
      <c r="AE5">
        <v>156.80000000000001</v>
      </c>
      <c r="AF5">
        <v>1.5680000000000001</v>
      </c>
      <c r="AG5">
        <v>2.4586239999999999</v>
      </c>
      <c r="AH5">
        <v>48.900002000000001</v>
      </c>
      <c r="AI5">
        <v>19.8891746</v>
      </c>
      <c r="AJ5">
        <v>0</v>
      </c>
      <c r="AK5">
        <f>_xlfn.XLOOKUP(C5,[1]SPACE_GSS_3!$G:$G,[1]SPACE_GSS_3!$AP:$AP)</f>
        <v>2</v>
      </c>
      <c r="AL5">
        <f>_xlfn.XLOOKUP(C5,[1]SPACE_GSS_3!$G:$G,[1]SPACE_GSS_3!$BM:$BM)</f>
        <v>14.65</v>
      </c>
    </row>
    <row r="6" spans="1:38" x14ac:dyDescent="0.25">
      <c r="A6">
        <v>15</v>
      </c>
      <c r="B6">
        <v>9</v>
      </c>
      <c r="C6">
        <v>10</v>
      </c>
      <c r="D6">
        <v>0</v>
      </c>
      <c r="E6">
        <v>1</v>
      </c>
      <c r="F6">
        <v>1</v>
      </c>
      <c r="G6">
        <v>1</v>
      </c>
      <c r="H6">
        <v>12.3</v>
      </c>
      <c r="I6">
        <v>2</v>
      </c>
      <c r="J6">
        <v>0</v>
      </c>
      <c r="K6">
        <v>0</v>
      </c>
      <c r="L6">
        <v>0</v>
      </c>
      <c r="M6">
        <v>0</v>
      </c>
      <c r="N6">
        <v>1</v>
      </c>
      <c r="O6">
        <v>5</v>
      </c>
      <c r="P6">
        <v>155</v>
      </c>
      <c r="Q6">
        <v>1.55</v>
      </c>
      <c r="R6">
        <v>2.4024999999999999</v>
      </c>
      <c r="S6">
        <v>38.400002000000001</v>
      </c>
      <c r="T6">
        <v>15.98335151</v>
      </c>
      <c r="U6">
        <v>0</v>
      </c>
      <c r="V6" t="s">
        <v>36</v>
      </c>
      <c r="W6">
        <v>13.8</v>
      </c>
      <c r="X6">
        <v>2</v>
      </c>
      <c r="Y6">
        <v>0</v>
      </c>
      <c r="Z6">
        <v>0</v>
      </c>
      <c r="AA6">
        <v>0</v>
      </c>
      <c r="AB6">
        <v>0</v>
      </c>
      <c r="AC6">
        <v>1</v>
      </c>
      <c r="AD6">
        <v>5</v>
      </c>
      <c r="AE6">
        <v>159.60001</v>
      </c>
      <c r="AF6">
        <v>1.5960000999999999</v>
      </c>
      <c r="AG6">
        <v>2.5472163189999999</v>
      </c>
      <c r="AH6">
        <v>45.299999</v>
      </c>
      <c r="AI6">
        <v>17.78411934</v>
      </c>
      <c r="AJ6">
        <v>0</v>
      </c>
      <c r="AK6">
        <f>_xlfn.XLOOKUP(C6,[1]SPACE_GSS_3!$G:$G,[1]SPACE_GSS_3!$AP:$AP)</f>
        <v>2</v>
      </c>
      <c r="AL6" t="s">
        <v>36</v>
      </c>
    </row>
    <row r="7" spans="1:38" x14ac:dyDescent="0.25">
      <c r="A7">
        <v>18</v>
      </c>
      <c r="B7">
        <v>11</v>
      </c>
      <c r="C7">
        <v>12</v>
      </c>
      <c r="D7">
        <v>0</v>
      </c>
      <c r="E7">
        <v>1</v>
      </c>
      <c r="F7">
        <v>0</v>
      </c>
      <c r="G7">
        <v>0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>
        <f>_xlfn.XLOOKUP(C7,[1]SPACE_GSS_3!$G:$G,[1]SPACE_GSS_3!$AP:$AP)</f>
        <v>0</v>
      </c>
      <c r="AL7">
        <f>_xlfn.XLOOKUP(C7,[1]SPACE_GSS_3!$G:$G,[1]SPACE_GSS_3!$BM:$BM)</f>
        <v>23.45</v>
      </c>
    </row>
    <row r="8" spans="1:38" x14ac:dyDescent="0.25">
      <c r="A8">
        <v>22</v>
      </c>
      <c r="B8">
        <v>13</v>
      </c>
      <c r="C8">
        <v>14</v>
      </c>
      <c r="D8">
        <v>0</v>
      </c>
      <c r="E8">
        <v>1</v>
      </c>
      <c r="F8">
        <v>1</v>
      </c>
      <c r="G8">
        <v>1</v>
      </c>
      <c r="H8">
        <v>13.8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5</v>
      </c>
      <c r="P8">
        <v>147.5</v>
      </c>
      <c r="Q8">
        <v>1.4750000000000001</v>
      </c>
      <c r="R8">
        <v>2.1756250000000001</v>
      </c>
      <c r="S8">
        <v>41.700001</v>
      </c>
      <c r="T8">
        <v>19.166906520000001</v>
      </c>
      <c r="U8">
        <v>0.1</v>
      </c>
      <c r="V8" t="s">
        <v>36</v>
      </c>
      <c r="W8">
        <v>15</v>
      </c>
      <c r="X8">
        <v>2</v>
      </c>
      <c r="Y8">
        <v>1</v>
      </c>
      <c r="Z8">
        <v>0</v>
      </c>
      <c r="AA8">
        <v>0</v>
      </c>
      <c r="AB8">
        <v>0</v>
      </c>
      <c r="AC8">
        <v>0</v>
      </c>
      <c r="AD8">
        <v>5</v>
      </c>
      <c r="AE8">
        <v>149.5</v>
      </c>
      <c r="AF8">
        <v>1.4950000000000001</v>
      </c>
      <c r="AG8">
        <v>2.2350249999999998</v>
      </c>
      <c r="AH8">
        <v>47.400002000000001</v>
      </c>
      <c r="AI8">
        <v>21.20781736</v>
      </c>
      <c r="AJ8">
        <v>0</v>
      </c>
      <c r="AK8">
        <f>_xlfn.XLOOKUP(C8,[1]SPACE_GSS_3!$G:$G,[1]SPACE_GSS_3!$AP:$AP)</f>
        <v>1</v>
      </c>
      <c r="AL8">
        <f>_xlfn.XLOOKUP(C8,[1]SPACE_GSS_3!$G:$G,[1]SPACE_GSS_3!$BM:$BM)</f>
        <v>8.35</v>
      </c>
    </row>
    <row r="9" spans="1:38" x14ac:dyDescent="0.25">
      <c r="A9">
        <v>23</v>
      </c>
      <c r="B9">
        <v>15</v>
      </c>
      <c r="C9">
        <v>16</v>
      </c>
      <c r="D9">
        <v>0</v>
      </c>
      <c r="E9">
        <v>1</v>
      </c>
      <c r="F9">
        <v>1</v>
      </c>
      <c r="G9">
        <v>1</v>
      </c>
      <c r="H9">
        <v>12.1</v>
      </c>
      <c r="I9">
        <v>2</v>
      </c>
      <c r="J9">
        <v>0</v>
      </c>
      <c r="K9">
        <v>0</v>
      </c>
      <c r="L9">
        <v>0</v>
      </c>
      <c r="M9">
        <v>0</v>
      </c>
      <c r="N9">
        <v>1</v>
      </c>
      <c r="O9">
        <v>4</v>
      </c>
      <c r="P9">
        <v>170.3</v>
      </c>
      <c r="Q9">
        <v>1.7030000000000001</v>
      </c>
      <c r="R9">
        <v>2.9002089999999998</v>
      </c>
      <c r="S9">
        <v>60.099997999999999</v>
      </c>
      <c r="T9">
        <v>20.722643779999999</v>
      </c>
      <c r="U9">
        <v>0</v>
      </c>
      <c r="V9" t="s">
        <v>36</v>
      </c>
      <c r="W9">
        <v>13.2</v>
      </c>
      <c r="X9">
        <v>2</v>
      </c>
      <c r="Y9">
        <v>0</v>
      </c>
      <c r="Z9">
        <v>0</v>
      </c>
      <c r="AA9">
        <v>0</v>
      </c>
      <c r="AB9">
        <v>0</v>
      </c>
      <c r="AC9">
        <v>1</v>
      </c>
      <c r="AD9">
        <v>4</v>
      </c>
      <c r="AE9">
        <v>175.10001</v>
      </c>
      <c r="AF9">
        <v>1.7510000999999999</v>
      </c>
      <c r="AG9">
        <v>3.0660013500000001</v>
      </c>
      <c r="AH9">
        <v>58.599997999999999</v>
      </c>
      <c r="AI9">
        <v>19.112841549999999</v>
      </c>
      <c r="AJ9">
        <v>-0.1</v>
      </c>
      <c r="AK9">
        <f>_xlfn.XLOOKUP(C9,[1]SPACE_GSS_3!$G:$G,[1]SPACE_GSS_3!$AP:$AP)</f>
        <v>15</v>
      </c>
      <c r="AL9">
        <f>_xlfn.XLOOKUP(C9,[1]SPACE_GSS_3!$G:$G,[1]SPACE_GSS_3!$BM:$BM)</f>
        <v>24.05</v>
      </c>
    </row>
    <row r="10" spans="1:38" x14ac:dyDescent="0.25">
      <c r="A10">
        <v>9</v>
      </c>
      <c r="B10">
        <v>17</v>
      </c>
      <c r="C10">
        <v>18</v>
      </c>
      <c r="D10">
        <v>0</v>
      </c>
      <c r="E10">
        <v>1</v>
      </c>
      <c r="F10">
        <v>1</v>
      </c>
      <c r="G10">
        <v>1</v>
      </c>
      <c r="H10">
        <v>13.4</v>
      </c>
      <c r="I10">
        <v>2</v>
      </c>
      <c r="J10">
        <v>0</v>
      </c>
      <c r="K10">
        <v>0</v>
      </c>
      <c r="L10">
        <v>0</v>
      </c>
      <c r="M10">
        <v>0</v>
      </c>
      <c r="N10">
        <v>1</v>
      </c>
      <c r="O10">
        <v>4</v>
      </c>
      <c r="P10">
        <v>162.39999</v>
      </c>
      <c r="Q10">
        <v>1.6239999000000001</v>
      </c>
      <c r="R10">
        <v>2.6373756749999999</v>
      </c>
      <c r="S10">
        <v>48.900002000000001</v>
      </c>
      <c r="T10">
        <v>18.541159100000002</v>
      </c>
      <c r="U10">
        <v>0</v>
      </c>
      <c r="V10" t="s">
        <v>36</v>
      </c>
      <c r="W10">
        <v>14.8</v>
      </c>
      <c r="X10">
        <v>2</v>
      </c>
      <c r="Y10">
        <v>0</v>
      </c>
      <c r="Z10">
        <v>0</v>
      </c>
      <c r="AA10">
        <v>0</v>
      </c>
      <c r="AB10">
        <v>0</v>
      </c>
      <c r="AC10">
        <v>1</v>
      </c>
      <c r="AD10">
        <v>5</v>
      </c>
      <c r="AE10">
        <v>164.10001</v>
      </c>
      <c r="AF10">
        <v>1.6410001000000001</v>
      </c>
      <c r="AG10">
        <v>2.6928813279999999</v>
      </c>
      <c r="AH10">
        <v>52.400002000000001</v>
      </c>
      <c r="AI10">
        <v>19.458711919999999</v>
      </c>
      <c r="AJ10">
        <v>0</v>
      </c>
      <c r="AK10">
        <f>_xlfn.XLOOKUP(C10,[1]SPACE_GSS_3!$G:$G,[1]SPACE_GSS_3!$AP:$AP)</f>
        <v>1</v>
      </c>
      <c r="AL10">
        <f>_xlfn.XLOOKUP(C10,[1]SPACE_GSS_3!$G:$G,[1]SPACE_GSS_3!$BM:$BM)</f>
        <v>9.1999999999999993</v>
      </c>
    </row>
    <row r="11" spans="1:38" x14ac:dyDescent="0.25">
      <c r="A11">
        <v>25</v>
      </c>
      <c r="B11">
        <v>19</v>
      </c>
      <c r="C11">
        <v>20</v>
      </c>
      <c r="D11">
        <v>0</v>
      </c>
      <c r="E11">
        <v>1</v>
      </c>
      <c r="F11">
        <v>1</v>
      </c>
      <c r="G11">
        <v>1</v>
      </c>
      <c r="H11">
        <v>13.4</v>
      </c>
      <c r="I11">
        <v>2</v>
      </c>
      <c r="J11">
        <v>0</v>
      </c>
      <c r="K11">
        <v>0</v>
      </c>
      <c r="L11">
        <v>0</v>
      </c>
      <c r="M11">
        <v>0</v>
      </c>
      <c r="N11">
        <v>1</v>
      </c>
      <c r="O11">
        <v>5</v>
      </c>
      <c r="P11">
        <v>159.5</v>
      </c>
      <c r="Q11">
        <v>1.595</v>
      </c>
      <c r="R11">
        <v>2.544025</v>
      </c>
      <c r="S11">
        <v>50.5</v>
      </c>
      <c r="T11">
        <v>19.850433859999999</v>
      </c>
      <c r="U11">
        <v>0</v>
      </c>
      <c r="V11" t="s">
        <v>36</v>
      </c>
      <c r="W11">
        <v>14.7</v>
      </c>
      <c r="X11">
        <v>2</v>
      </c>
      <c r="Y11">
        <v>0</v>
      </c>
      <c r="Z11">
        <v>0</v>
      </c>
      <c r="AA11">
        <v>0</v>
      </c>
      <c r="AB11">
        <v>0</v>
      </c>
      <c r="AC11">
        <v>1</v>
      </c>
      <c r="AD11">
        <v>5</v>
      </c>
      <c r="AE11">
        <v>162.80000000000001</v>
      </c>
      <c r="AF11">
        <v>1.6279999999999999</v>
      </c>
      <c r="AG11">
        <v>2.6503839999999999</v>
      </c>
      <c r="AH11">
        <v>54.799999</v>
      </c>
      <c r="AI11">
        <v>20.6762488</v>
      </c>
      <c r="AJ11">
        <v>0</v>
      </c>
      <c r="AK11">
        <f>_xlfn.XLOOKUP(C11,[1]SPACE_GSS_3!$G:$G,[1]SPACE_GSS_3!$AP:$AP)</f>
        <v>2</v>
      </c>
      <c r="AL11">
        <f>_xlfn.XLOOKUP(C11,[1]SPACE_GSS_3!$G:$G,[1]SPACE_GSS_3!$BM:$BM)</f>
        <v>12.1</v>
      </c>
    </row>
    <row r="12" spans="1:38" x14ac:dyDescent="0.25">
      <c r="A12">
        <v>20</v>
      </c>
      <c r="B12">
        <v>21</v>
      </c>
      <c r="C12">
        <v>22</v>
      </c>
      <c r="D12">
        <v>0</v>
      </c>
      <c r="E12">
        <v>1</v>
      </c>
      <c r="F12">
        <v>0</v>
      </c>
      <c r="G12">
        <v>0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>
        <f>_xlfn.XLOOKUP(C12,[1]SPACE_GSS_3!$G:$G,[1]SPACE_GSS_3!$AP:$AP)</f>
        <v>1</v>
      </c>
      <c r="AL12">
        <f>_xlfn.XLOOKUP(C12,[1]SPACE_GSS_3!$G:$G,[1]SPACE_GSS_3!$BM:$BM)</f>
        <v>9.4</v>
      </c>
    </row>
    <row r="13" spans="1:38" x14ac:dyDescent="0.25">
      <c r="A13">
        <v>6</v>
      </c>
      <c r="B13">
        <v>23</v>
      </c>
      <c r="C13">
        <v>24</v>
      </c>
      <c r="D13">
        <v>0</v>
      </c>
      <c r="E13">
        <v>1</v>
      </c>
      <c r="F13">
        <v>0</v>
      </c>
      <c r="G13">
        <v>0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  <c r="AK13">
        <f>_xlfn.XLOOKUP(C13,[1]SPACE_GSS_3!$G:$G,[1]SPACE_GSS_3!$AP:$AP)</f>
        <v>1</v>
      </c>
      <c r="AL13">
        <f>_xlfn.XLOOKUP(C13,[1]SPACE_GSS_3!$G:$G,[1]SPACE_GSS_3!$BM:$BM)</f>
        <v>15.65</v>
      </c>
    </row>
    <row r="14" spans="1:38" x14ac:dyDescent="0.25">
      <c r="A14">
        <v>31</v>
      </c>
      <c r="B14">
        <v>25</v>
      </c>
      <c r="C14">
        <v>26</v>
      </c>
      <c r="D14">
        <v>0</v>
      </c>
      <c r="E14">
        <v>1</v>
      </c>
      <c r="F14">
        <v>1</v>
      </c>
      <c r="G14">
        <v>1</v>
      </c>
      <c r="H14">
        <v>14.4</v>
      </c>
      <c r="I14">
        <v>2</v>
      </c>
      <c r="J14">
        <v>0</v>
      </c>
      <c r="K14">
        <v>0</v>
      </c>
      <c r="L14">
        <v>0</v>
      </c>
      <c r="M14">
        <v>0</v>
      </c>
      <c r="N14">
        <v>1</v>
      </c>
      <c r="O14">
        <v>5</v>
      </c>
      <c r="P14">
        <v>158.39999</v>
      </c>
      <c r="Q14">
        <v>1.5839999</v>
      </c>
      <c r="R14">
        <v>2.5090556830000001</v>
      </c>
      <c r="S14">
        <v>44.099997999999999</v>
      </c>
      <c r="T14">
        <v>17.576332919999999</v>
      </c>
      <c r="U14">
        <v>0</v>
      </c>
      <c r="V14" t="s">
        <v>36</v>
      </c>
      <c r="W14">
        <v>15.3</v>
      </c>
      <c r="X14">
        <v>2</v>
      </c>
      <c r="Y14">
        <v>0</v>
      </c>
      <c r="Z14">
        <v>0</v>
      </c>
      <c r="AA14">
        <v>0</v>
      </c>
      <c r="AB14">
        <v>0</v>
      </c>
      <c r="AC14">
        <v>1</v>
      </c>
      <c r="AD14">
        <v>5</v>
      </c>
      <c r="AE14">
        <v>161.10001</v>
      </c>
      <c r="AF14">
        <v>1.6110001</v>
      </c>
      <c r="AG14">
        <v>2.5953213220000002</v>
      </c>
      <c r="AH14">
        <v>48.599997999999999</v>
      </c>
      <c r="AI14">
        <v>18.726004209999999</v>
      </c>
      <c r="AJ14">
        <v>0</v>
      </c>
      <c r="AK14">
        <f>_xlfn.XLOOKUP(C14,[1]SPACE_GSS_3!$G:$G,[1]SPACE_GSS_3!$AP:$AP)</f>
        <v>1</v>
      </c>
      <c r="AL14">
        <f>_xlfn.XLOOKUP(C14,[1]SPACE_GSS_3!$G:$G,[1]SPACE_GSS_3!$BM:$BM)</f>
        <v>9.3000000000000007</v>
      </c>
    </row>
    <row r="15" spans="1:38" x14ac:dyDescent="0.25">
      <c r="A15">
        <v>24</v>
      </c>
      <c r="B15">
        <v>27</v>
      </c>
      <c r="C15">
        <v>28</v>
      </c>
      <c r="D15">
        <v>0</v>
      </c>
      <c r="E15">
        <v>1</v>
      </c>
      <c r="F15">
        <v>1</v>
      </c>
      <c r="G15">
        <v>1</v>
      </c>
      <c r="H15">
        <v>15</v>
      </c>
      <c r="I15">
        <v>2</v>
      </c>
      <c r="J15">
        <v>0</v>
      </c>
      <c r="K15">
        <v>0</v>
      </c>
      <c r="L15">
        <v>0</v>
      </c>
      <c r="M15">
        <v>0</v>
      </c>
      <c r="N15">
        <v>1</v>
      </c>
      <c r="O15">
        <v>2</v>
      </c>
      <c r="P15">
        <v>167</v>
      </c>
      <c r="Q15">
        <v>1.67</v>
      </c>
      <c r="R15">
        <v>2.7888999999999999</v>
      </c>
      <c r="S15">
        <v>62.200001</v>
      </c>
      <c r="T15">
        <v>22.302700349999999</v>
      </c>
      <c r="U15">
        <v>0</v>
      </c>
      <c r="V15" t="s">
        <v>36</v>
      </c>
      <c r="W15">
        <v>16.3</v>
      </c>
      <c r="X15">
        <v>2</v>
      </c>
      <c r="Y15">
        <v>0</v>
      </c>
      <c r="Z15">
        <v>0</v>
      </c>
      <c r="AA15">
        <v>0</v>
      </c>
      <c r="AB15">
        <v>0</v>
      </c>
      <c r="AC15">
        <v>1</v>
      </c>
      <c r="AD15">
        <v>2</v>
      </c>
      <c r="AE15">
        <v>169.2</v>
      </c>
      <c r="AF15">
        <v>1.6919999999999999</v>
      </c>
      <c r="AG15">
        <v>2.8628640000000001</v>
      </c>
      <c r="AH15">
        <v>62.099997999999999</v>
      </c>
      <c r="AI15">
        <v>21.691564110000002</v>
      </c>
      <c r="AJ15">
        <v>0</v>
      </c>
      <c r="AK15">
        <f>_xlfn.XLOOKUP(C15,[1]SPACE_GSS_3!$G:$G,[1]SPACE_GSS_3!$AP:$AP)</f>
        <v>4</v>
      </c>
      <c r="AL15">
        <f>_xlfn.XLOOKUP(C15,[1]SPACE_GSS_3!$G:$G,[1]SPACE_GSS_3!$BM:$BM)</f>
        <v>17.45</v>
      </c>
    </row>
    <row r="16" spans="1:38" x14ac:dyDescent="0.25">
      <c r="A16">
        <v>33</v>
      </c>
      <c r="B16">
        <v>29</v>
      </c>
      <c r="C16">
        <v>30</v>
      </c>
      <c r="D16">
        <v>0</v>
      </c>
      <c r="E16">
        <v>1</v>
      </c>
      <c r="F16">
        <v>1</v>
      </c>
      <c r="G16">
        <v>1</v>
      </c>
      <c r="H16">
        <v>14.4</v>
      </c>
      <c r="I16">
        <v>2</v>
      </c>
      <c r="J16">
        <v>0</v>
      </c>
      <c r="K16">
        <v>0</v>
      </c>
      <c r="L16">
        <v>0</v>
      </c>
      <c r="M16">
        <v>0</v>
      </c>
      <c r="N16">
        <v>1</v>
      </c>
      <c r="O16">
        <v>4</v>
      </c>
      <c r="P16">
        <v>173.8</v>
      </c>
      <c r="Q16">
        <v>1.738</v>
      </c>
      <c r="R16">
        <v>3.0206439999999999</v>
      </c>
      <c r="S16">
        <v>85.800003000000004</v>
      </c>
      <c r="T16">
        <v>28.404539889999999</v>
      </c>
      <c r="U16">
        <v>-0.2</v>
      </c>
      <c r="V16" t="s">
        <v>36</v>
      </c>
      <c r="W16">
        <v>15.9</v>
      </c>
      <c r="X16">
        <v>2</v>
      </c>
      <c r="Y16">
        <v>0</v>
      </c>
      <c r="Z16">
        <v>0</v>
      </c>
      <c r="AA16">
        <v>0</v>
      </c>
      <c r="AB16">
        <v>0</v>
      </c>
      <c r="AC16">
        <v>1</v>
      </c>
      <c r="AD16">
        <v>4</v>
      </c>
      <c r="AE16">
        <v>175</v>
      </c>
      <c r="AF16">
        <v>1.75</v>
      </c>
      <c r="AG16">
        <v>3.0625</v>
      </c>
      <c r="AH16">
        <v>82.699996999999996</v>
      </c>
      <c r="AI16">
        <v>27.004080649999999</v>
      </c>
      <c r="AJ16">
        <v>0</v>
      </c>
      <c r="AK16">
        <f>_xlfn.XLOOKUP(C16,[1]SPACE_GSS_3!$G:$G,[1]SPACE_GSS_3!$AP:$AP)</f>
        <v>1</v>
      </c>
      <c r="AL16">
        <f>_xlfn.XLOOKUP(C16,[1]SPACE_GSS_3!$G:$G,[1]SPACE_GSS_3!$BM:$BM)</f>
        <v>12.25</v>
      </c>
    </row>
    <row r="17" spans="1:38" x14ac:dyDescent="0.25">
      <c r="A17">
        <v>26</v>
      </c>
      <c r="B17">
        <v>31</v>
      </c>
      <c r="C17">
        <v>32</v>
      </c>
      <c r="D17">
        <v>0</v>
      </c>
      <c r="E17">
        <v>1</v>
      </c>
      <c r="F17">
        <v>0</v>
      </c>
      <c r="G17">
        <v>0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  <c r="AJ17" t="s">
        <v>36</v>
      </c>
      <c r="AK17">
        <f>_xlfn.XLOOKUP(C17,[1]SPACE_GSS_3!$G:$G,[1]SPACE_GSS_3!$AP:$AP)</f>
        <v>0</v>
      </c>
      <c r="AL17">
        <f>_xlfn.XLOOKUP(C17,[1]SPACE_GSS_3!$G:$G,[1]SPACE_GSS_3!$BM:$BM)</f>
        <v>17.149999999999999</v>
      </c>
    </row>
    <row r="18" spans="1:38" x14ac:dyDescent="0.25">
      <c r="A18">
        <v>8</v>
      </c>
      <c r="B18">
        <v>33</v>
      </c>
      <c r="C18">
        <v>34</v>
      </c>
      <c r="D18">
        <v>0</v>
      </c>
      <c r="E18">
        <v>1</v>
      </c>
      <c r="F18">
        <v>1</v>
      </c>
      <c r="G18">
        <v>1</v>
      </c>
      <c r="H18">
        <v>13.1</v>
      </c>
      <c r="I18">
        <v>2</v>
      </c>
      <c r="J18">
        <v>0</v>
      </c>
      <c r="K18">
        <v>0</v>
      </c>
      <c r="L18">
        <v>0</v>
      </c>
      <c r="M18">
        <v>0</v>
      </c>
      <c r="N18">
        <v>1</v>
      </c>
      <c r="O18">
        <v>5</v>
      </c>
      <c r="P18">
        <v>153.5</v>
      </c>
      <c r="Q18">
        <v>1.5349999999999999</v>
      </c>
      <c r="R18">
        <v>2.3562249999999998</v>
      </c>
      <c r="S18">
        <v>48.5</v>
      </c>
      <c r="T18">
        <v>20.583772769999999</v>
      </c>
      <c r="U18">
        <v>0.1</v>
      </c>
      <c r="V18" t="s">
        <v>36</v>
      </c>
      <c r="W18">
        <v>14.5</v>
      </c>
      <c r="X18">
        <v>2</v>
      </c>
      <c r="Y18">
        <v>0</v>
      </c>
      <c r="Z18">
        <v>0</v>
      </c>
      <c r="AA18">
        <v>0</v>
      </c>
      <c r="AB18">
        <v>0</v>
      </c>
      <c r="AC18">
        <v>1</v>
      </c>
      <c r="AD18">
        <v>5</v>
      </c>
      <c r="AE18">
        <v>159.60001</v>
      </c>
      <c r="AF18">
        <v>1.5960000999999999</v>
      </c>
      <c r="AG18">
        <v>2.5472163189999999</v>
      </c>
      <c r="AH18">
        <v>52.700001</v>
      </c>
      <c r="AI18">
        <v>20.68925226</v>
      </c>
      <c r="AJ18">
        <v>0</v>
      </c>
      <c r="AK18">
        <f>_xlfn.XLOOKUP(C18,[1]SPACE_GSS_3!$G:$G,[1]SPACE_GSS_3!$AP:$AP)</f>
        <v>0</v>
      </c>
      <c r="AL18">
        <f>_xlfn.XLOOKUP(C18,[1]SPACE_GSS_3!$G:$G,[1]SPACE_GSS_3!$BM:$BM)</f>
        <v>54.7</v>
      </c>
    </row>
    <row r="19" spans="1:38" x14ac:dyDescent="0.25">
      <c r="A19">
        <v>32</v>
      </c>
      <c r="B19">
        <v>35</v>
      </c>
      <c r="C19">
        <v>36</v>
      </c>
      <c r="D19">
        <v>0</v>
      </c>
      <c r="E19">
        <v>1</v>
      </c>
      <c r="F19">
        <v>1</v>
      </c>
      <c r="G19">
        <v>1</v>
      </c>
      <c r="H19">
        <v>13.1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5</v>
      </c>
      <c r="P19">
        <v>152</v>
      </c>
      <c r="Q19">
        <v>1.52</v>
      </c>
      <c r="R19">
        <v>2.3104</v>
      </c>
      <c r="S19">
        <v>47.099997999999999</v>
      </c>
      <c r="T19">
        <v>20.386079469999999</v>
      </c>
      <c r="U19">
        <v>-0.1</v>
      </c>
      <c r="V19" t="s">
        <v>36</v>
      </c>
      <c r="W19">
        <v>14.6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5</v>
      </c>
      <c r="AE19">
        <v>153.5</v>
      </c>
      <c r="AF19">
        <v>1.5349999999999999</v>
      </c>
      <c r="AG19">
        <v>2.3562249999999998</v>
      </c>
      <c r="AH19">
        <v>53.900002000000001</v>
      </c>
      <c r="AI19">
        <v>22.875575130000001</v>
      </c>
      <c r="AJ19">
        <v>0</v>
      </c>
      <c r="AK19">
        <f>_xlfn.XLOOKUP(C19,[1]SPACE_GSS_3!$G:$G,[1]SPACE_GSS_3!$AP:$AP)</f>
        <v>0</v>
      </c>
      <c r="AL19">
        <f>_xlfn.XLOOKUP(C19,[1]SPACE_GSS_3!$G:$G,[1]SPACE_GSS_3!$BM:$BM)</f>
        <v>12.85</v>
      </c>
    </row>
    <row r="20" spans="1:38" x14ac:dyDescent="0.25">
      <c r="A20">
        <v>27</v>
      </c>
      <c r="B20">
        <v>37</v>
      </c>
      <c r="C20">
        <v>38</v>
      </c>
      <c r="D20">
        <v>0</v>
      </c>
      <c r="E20">
        <v>1</v>
      </c>
      <c r="F20">
        <v>1</v>
      </c>
      <c r="G20">
        <v>1</v>
      </c>
      <c r="H20">
        <v>15</v>
      </c>
      <c r="I20">
        <v>2</v>
      </c>
      <c r="J20">
        <v>0</v>
      </c>
      <c r="K20">
        <v>0</v>
      </c>
      <c r="L20">
        <v>0</v>
      </c>
      <c r="M20">
        <v>0</v>
      </c>
      <c r="N20">
        <v>1</v>
      </c>
      <c r="O20">
        <v>5</v>
      </c>
      <c r="P20">
        <v>169.10001</v>
      </c>
      <c r="Q20">
        <v>1.6910000999999999</v>
      </c>
      <c r="R20">
        <v>2.8594813380000002</v>
      </c>
      <c r="S20">
        <v>51.299999</v>
      </c>
      <c r="T20">
        <v>17.940316070000002</v>
      </c>
      <c r="U20">
        <v>0</v>
      </c>
      <c r="V20" t="s">
        <v>36</v>
      </c>
      <c r="W20">
        <v>16</v>
      </c>
      <c r="X20">
        <v>2</v>
      </c>
      <c r="Y20">
        <v>0</v>
      </c>
      <c r="Z20">
        <v>0</v>
      </c>
      <c r="AA20">
        <v>0</v>
      </c>
      <c r="AB20">
        <v>0</v>
      </c>
      <c r="AC20">
        <v>1</v>
      </c>
      <c r="AD20">
        <v>5</v>
      </c>
      <c r="AE20">
        <v>171.10001</v>
      </c>
      <c r="AF20">
        <v>1.7110000999999999</v>
      </c>
      <c r="AG20">
        <v>2.9275213419999999</v>
      </c>
      <c r="AH20">
        <v>54.400002000000001</v>
      </c>
      <c r="AI20">
        <v>18.582273409999999</v>
      </c>
      <c r="AJ20">
        <v>0</v>
      </c>
      <c r="AK20">
        <f>_xlfn.XLOOKUP(C20,[1]SPACE_GSS_3!$G:$G,[1]SPACE_GSS_3!$AP:$AP)</f>
        <v>4</v>
      </c>
      <c r="AL20">
        <f>_xlfn.XLOOKUP(C20,[1]SPACE_GSS_3!$G:$G,[1]SPACE_GSS_3!$BM:$BM)</f>
        <v>8.15</v>
      </c>
    </row>
    <row r="21" spans="1:38" x14ac:dyDescent="0.25">
      <c r="A21">
        <v>34</v>
      </c>
      <c r="B21">
        <v>39</v>
      </c>
      <c r="C21">
        <v>40</v>
      </c>
      <c r="D21">
        <v>0</v>
      </c>
      <c r="E21">
        <v>1</v>
      </c>
      <c r="F21">
        <v>1</v>
      </c>
      <c r="G21">
        <v>1</v>
      </c>
      <c r="H21">
        <v>13.9</v>
      </c>
      <c r="I21">
        <v>2</v>
      </c>
      <c r="J21">
        <v>0</v>
      </c>
      <c r="K21">
        <v>0</v>
      </c>
      <c r="L21">
        <v>0</v>
      </c>
      <c r="M21">
        <v>0</v>
      </c>
      <c r="N21">
        <v>1</v>
      </c>
      <c r="O21">
        <v>4</v>
      </c>
      <c r="P21">
        <v>159.10001</v>
      </c>
      <c r="Q21">
        <v>1.5910001</v>
      </c>
      <c r="R21">
        <v>2.531281318</v>
      </c>
      <c r="S21">
        <v>43.200001</v>
      </c>
      <c r="T21">
        <v>17.066455900000001</v>
      </c>
      <c r="U21">
        <v>0.1</v>
      </c>
      <c r="V21" t="s">
        <v>36</v>
      </c>
      <c r="W21">
        <v>15.5</v>
      </c>
      <c r="X21">
        <v>2</v>
      </c>
      <c r="Y21">
        <v>0</v>
      </c>
      <c r="Z21">
        <v>0</v>
      </c>
      <c r="AA21">
        <v>0</v>
      </c>
      <c r="AB21">
        <v>0</v>
      </c>
      <c r="AC21">
        <v>1</v>
      </c>
      <c r="AD21">
        <v>4</v>
      </c>
      <c r="AE21">
        <v>161.60001</v>
      </c>
      <c r="AF21">
        <v>1.6160000999999999</v>
      </c>
      <c r="AG21">
        <v>2.6114563230000001</v>
      </c>
      <c r="AH21">
        <v>48.200001</v>
      </c>
      <c r="AI21">
        <v>18.45713465</v>
      </c>
      <c r="AJ21">
        <v>0</v>
      </c>
      <c r="AK21">
        <f>_xlfn.XLOOKUP(C21,[1]SPACE_GSS_3!$G:$G,[1]SPACE_GSS_3!$AP:$AP)</f>
        <v>4</v>
      </c>
      <c r="AL21">
        <f>_xlfn.XLOOKUP(C21,[1]SPACE_GSS_3!$G:$G,[1]SPACE_GSS_3!$BM:$BM)</f>
        <v>9.1</v>
      </c>
    </row>
    <row r="22" spans="1:38" x14ac:dyDescent="0.25">
      <c r="A22">
        <v>35</v>
      </c>
      <c r="B22">
        <v>41</v>
      </c>
      <c r="C22">
        <v>42</v>
      </c>
      <c r="D22">
        <v>0</v>
      </c>
      <c r="E22">
        <v>1</v>
      </c>
      <c r="F22">
        <v>0</v>
      </c>
      <c r="G22">
        <v>1</v>
      </c>
      <c r="H22">
        <v>13.7</v>
      </c>
      <c r="I22">
        <v>2</v>
      </c>
      <c r="J22">
        <v>0</v>
      </c>
      <c r="K22">
        <v>0</v>
      </c>
      <c r="L22">
        <v>0</v>
      </c>
      <c r="M22">
        <v>0</v>
      </c>
      <c r="N22">
        <v>1</v>
      </c>
      <c r="O22">
        <v>5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>
        <v>15.7</v>
      </c>
      <c r="X22">
        <v>2</v>
      </c>
      <c r="Y22">
        <v>0</v>
      </c>
      <c r="Z22">
        <v>0</v>
      </c>
      <c r="AA22">
        <v>0</v>
      </c>
      <c r="AB22">
        <v>0</v>
      </c>
      <c r="AC22">
        <v>1</v>
      </c>
      <c r="AD22">
        <v>5</v>
      </c>
      <c r="AE22">
        <v>173</v>
      </c>
      <c r="AF22">
        <v>1.73</v>
      </c>
      <c r="AG22">
        <v>2.9929000000000001</v>
      </c>
      <c r="AH22">
        <v>55.5</v>
      </c>
      <c r="AI22">
        <v>18.5438872</v>
      </c>
      <c r="AJ22">
        <v>0</v>
      </c>
      <c r="AK22">
        <f>_xlfn.XLOOKUP(C22,[1]SPACE_GSS_3!$G:$G,[1]SPACE_GSS_3!$AP:$AP)</f>
        <v>0</v>
      </c>
      <c r="AL22">
        <f>_xlfn.XLOOKUP(C22,[1]SPACE_GSS_3!$G:$G,[1]SPACE_GSS_3!$BM:$BM)</f>
        <v>21.8</v>
      </c>
    </row>
    <row r="23" spans="1:38" x14ac:dyDescent="0.25">
      <c r="A23">
        <v>37</v>
      </c>
      <c r="B23">
        <v>43</v>
      </c>
      <c r="C23">
        <v>44</v>
      </c>
      <c r="D23">
        <v>0</v>
      </c>
      <c r="E23">
        <v>1</v>
      </c>
      <c r="F23">
        <v>1</v>
      </c>
      <c r="G23">
        <v>1</v>
      </c>
      <c r="H23">
        <v>12.8</v>
      </c>
      <c r="I23">
        <v>2</v>
      </c>
      <c r="J23">
        <v>0</v>
      </c>
      <c r="K23">
        <v>0</v>
      </c>
      <c r="L23">
        <v>0</v>
      </c>
      <c r="M23">
        <v>0</v>
      </c>
      <c r="N23">
        <v>1</v>
      </c>
      <c r="O23">
        <v>5</v>
      </c>
      <c r="P23">
        <v>164.7</v>
      </c>
      <c r="Q23">
        <v>1.647</v>
      </c>
      <c r="R23">
        <v>2.712609</v>
      </c>
      <c r="S23">
        <v>46.599997999999999</v>
      </c>
      <c r="T23">
        <v>17.17903244</v>
      </c>
      <c r="U23">
        <v>0.1</v>
      </c>
      <c r="V23" t="s">
        <v>36</v>
      </c>
      <c r="W23">
        <v>14.5</v>
      </c>
      <c r="X23">
        <v>2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169</v>
      </c>
      <c r="AF23">
        <v>1.69</v>
      </c>
      <c r="AG23">
        <v>2.8561000000000001</v>
      </c>
      <c r="AH23">
        <v>56.099997999999999</v>
      </c>
      <c r="AI23">
        <v>19.642168689999998</v>
      </c>
      <c r="AJ23">
        <v>0</v>
      </c>
      <c r="AK23">
        <f>_xlfn.XLOOKUP(C23,[1]SPACE_GSS_3!$G:$G,[1]SPACE_GSS_3!$AP:$AP)</f>
        <v>0</v>
      </c>
      <c r="AL23">
        <f>_xlfn.XLOOKUP(C23,[1]SPACE_GSS_3!$G:$G,[1]SPACE_GSS_3!$BM:$BM)</f>
        <v>17.100000000000001</v>
      </c>
    </row>
    <row r="24" spans="1:38" x14ac:dyDescent="0.25">
      <c r="A24">
        <v>38</v>
      </c>
      <c r="B24">
        <v>45</v>
      </c>
      <c r="C24">
        <v>46</v>
      </c>
      <c r="D24">
        <v>0</v>
      </c>
      <c r="E24">
        <v>1</v>
      </c>
      <c r="F24">
        <v>1</v>
      </c>
      <c r="G24">
        <v>1</v>
      </c>
      <c r="H24">
        <v>13.7</v>
      </c>
      <c r="I24">
        <v>1</v>
      </c>
      <c r="J24">
        <v>1</v>
      </c>
      <c r="K24">
        <v>0</v>
      </c>
      <c r="L24">
        <v>0</v>
      </c>
      <c r="M24">
        <v>0</v>
      </c>
      <c r="N24">
        <v>1</v>
      </c>
      <c r="O24">
        <v>4</v>
      </c>
      <c r="P24">
        <v>155.80000000000001</v>
      </c>
      <c r="Q24">
        <v>1.5580000000000001</v>
      </c>
      <c r="R24">
        <v>2.4273639999999999</v>
      </c>
      <c r="S24">
        <v>39.5</v>
      </c>
      <c r="T24">
        <v>16.272796329999998</v>
      </c>
      <c r="U24">
        <v>0</v>
      </c>
      <c r="V24" t="s">
        <v>36</v>
      </c>
      <c r="W24">
        <v>15.8</v>
      </c>
      <c r="X24">
        <v>1</v>
      </c>
      <c r="Y24">
        <v>1</v>
      </c>
      <c r="Z24">
        <v>0</v>
      </c>
      <c r="AA24">
        <v>0</v>
      </c>
      <c r="AB24">
        <v>0</v>
      </c>
      <c r="AC24">
        <v>1</v>
      </c>
      <c r="AD24">
        <v>4</v>
      </c>
      <c r="AE24">
        <v>158</v>
      </c>
      <c r="AF24">
        <v>1.58</v>
      </c>
      <c r="AG24">
        <v>2.4964</v>
      </c>
      <c r="AH24">
        <v>45.700001</v>
      </c>
      <c r="AI24">
        <v>18.306361559999999</v>
      </c>
      <c r="AJ24">
        <v>0.1</v>
      </c>
      <c r="AK24">
        <f>_xlfn.XLOOKUP(C24,[1]SPACE_GSS_3!$G:$G,[1]SPACE_GSS_3!$AP:$AP)</f>
        <v>0</v>
      </c>
      <c r="AL24">
        <f>_xlfn.XLOOKUP(C24,[1]SPACE_GSS_3!$G:$G,[1]SPACE_GSS_3!$BM:$BM)</f>
        <v>12.25</v>
      </c>
    </row>
    <row r="25" spans="1:38" x14ac:dyDescent="0.25">
      <c r="A25">
        <v>39</v>
      </c>
      <c r="B25">
        <v>47</v>
      </c>
      <c r="C25">
        <v>48</v>
      </c>
      <c r="D25">
        <v>0</v>
      </c>
      <c r="E25">
        <v>1</v>
      </c>
      <c r="F25">
        <v>0</v>
      </c>
      <c r="G25">
        <v>0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  <c r="AJ25" t="s">
        <v>36</v>
      </c>
      <c r="AK25">
        <f>_xlfn.XLOOKUP(C25,[1]SPACE_GSS_3!$G:$G,[1]SPACE_GSS_3!$AP:$AP)</f>
        <v>1</v>
      </c>
      <c r="AL25">
        <f>_xlfn.XLOOKUP(C25,[1]SPACE_GSS_3!$G:$G,[1]SPACE_GSS_3!$BM:$BM)</f>
        <v>24.9</v>
      </c>
    </row>
    <row r="26" spans="1:38" x14ac:dyDescent="0.25">
      <c r="A26">
        <v>64</v>
      </c>
      <c r="B26">
        <v>49</v>
      </c>
      <c r="C26">
        <v>50</v>
      </c>
      <c r="D26">
        <v>0</v>
      </c>
      <c r="E26">
        <v>1</v>
      </c>
      <c r="F26">
        <v>1</v>
      </c>
      <c r="G26">
        <v>0</v>
      </c>
      <c r="H26">
        <v>12.9</v>
      </c>
      <c r="I26">
        <v>2</v>
      </c>
      <c r="J26">
        <v>0</v>
      </c>
      <c r="K26">
        <v>0</v>
      </c>
      <c r="L26">
        <v>0</v>
      </c>
      <c r="M26">
        <v>0</v>
      </c>
      <c r="N26">
        <v>1</v>
      </c>
      <c r="O26">
        <v>5</v>
      </c>
      <c r="P26">
        <v>159.19999999999999</v>
      </c>
      <c r="Q26">
        <v>1.5920000000000001</v>
      </c>
      <c r="R26">
        <v>2.5344639999999998</v>
      </c>
      <c r="S26">
        <v>46.400002000000001</v>
      </c>
      <c r="T26">
        <v>18.307619280000001</v>
      </c>
      <c r="U26">
        <v>-0.1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>
        <f>_xlfn.XLOOKUP(C26,[1]SPACE_GSS_3!$G:$G,[1]SPACE_GSS_3!$AP:$AP)</f>
        <v>0</v>
      </c>
      <c r="AL26">
        <f>_xlfn.XLOOKUP(C26,[1]SPACE_GSS_3!$G:$G,[1]SPACE_GSS_3!$BM:$BM)</f>
        <v>21.5</v>
      </c>
    </row>
    <row r="27" spans="1:38" x14ac:dyDescent="0.25">
      <c r="A27">
        <v>42</v>
      </c>
      <c r="B27">
        <v>51</v>
      </c>
      <c r="C27">
        <v>52</v>
      </c>
      <c r="D27">
        <v>0</v>
      </c>
      <c r="E27">
        <v>1</v>
      </c>
      <c r="F27">
        <v>1</v>
      </c>
      <c r="G27">
        <v>1</v>
      </c>
      <c r="H27">
        <v>13.3</v>
      </c>
      <c r="I27">
        <v>2</v>
      </c>
      <c r="J27">
        <v>0</v>
      </c>
      <c r="K27">
        <v>0</v>
      </c>
      <c r="L27">
        <v>0</v>
      </c>
      <c r="M27">
        <v>0</v>
      </c>
      <c r="N27">
        <v>1</v>
      </c>
      <c r="O27">
        <v>4</v>
      </c>
      <c r="P27">
        <v>156.39999</v>
      </c>
      <c r="Q27">
        <v>1.5639999</v>
      </c>
      <c r="R27">
        <v>2.4460956870000001</v>
      </c>
      <c r="S27">
        <v>47.799999</v>
      </c>
      <c r="T27">
        <v>19.5413447</v>
      </c>
      <c r="U27">
        <v>0.1</v>
      </c>
      <c r="V27" t="s">
        <v>36</v>
      </c>
      <c r="W27">
        <v>14.8</v>
      </c>
      <c r="X27">
        <v>2</v>
      </c>
      <c r="Y27">
        <v>0</v>
      </c>
      <c r="Z27">
        <v>0</v>
      </c>
      <c r="AA27">
        <v>0</v>
      </c>
      <c r="AB27">
        <v>0</v>
      </c>
      <c r="AC27">
        <v>1</v>
      </c>
      <c r="AD27">
        <v>4</v>
      </c>
      <c r="AE27">
        <v>160.80000000000001</v>
      </c>
      <c r="AF27">
        <v>1.6080000000000001</v>
      </c>
      <c r="AG27">
        <v>2.585664</v>
      </c>
      <c r="AH27">
        <v>51.200001</v>
      </c>
      <c r="AI27">
        <v>19.801490449999999</v>
      </c>
      <c r="AJ27">
        <v>0</v>
      </c>
      <c r="AK27">
        <f>_xlfn.XLOOKUP(C27,[1]SPACE_GSS_3!$G:$G,[1]SPACE_GSS_3!$AP:$AP)</f>
        <v>7</v>
      </c>
      <c r="AL27">
        <f>_xlfn.XLOOKUP(C27,[1]SPACE_GSS_3!$G:$G,[1]SPACE_GSS_3!$BM:$BM)</f>
        <v>14.85</v>
      </c>
    </row>
    <row r="28" spans="1:38" x14ac:dyDescent="0.25">
      <c r="A28">
        <v>88</v>
      </c>
      <c r="B28">
        <v>53</v>
      </c>
      <c r="C28">
        <v>54</v>
      </c>
      <c r="D28">
        <v>0</v>
      </c>
      <c r="E28">
        <v>1</v>
      </c>
      <c r="F28">
        <v>1</v>
      </c>
      <c r="G28">
        <v>1</v>
      </c>
      <c r="H28">
        <v>14</v>
      </c>
      <c r="I28">
        <v>2</v>
      </c>
      <c r="J28">
        <v>0</v>
      </c>
      <c r="K28">
        <v>0</v>
      </c>
      <c r="L28">
        <v>0</v>
      </c>
      <c r="M28">
        <v>0</v>
      </c>
      <c r="N28">
        <v>1</v>
      </c>
      <c r="O28">
        <v>4</v>
      </c>
      <c r="P28">
        <v>164.10001</v>
      </c>
      <c r="Q28">
        <v>1.6410001000000001</v>
      </c>
      <c r="R28">
        <v>2.6928813279999999</v>
      </c>
      <c r="S28">
        <v>67.699996999999996</v>
      </c>
      <c r="T28">
        <v>25.140356650000001</v>
      </c>
      <c r="U28">
        <v>0</v>
      </c>
      <c r="V28" t="s">
        <v>36</v>
      </c>
      <c r="W28">
        <v>15.2</v>
      </c>
      <c r="X28">
        <v>2</v>
      </c>
      <c r="Y28">
        <v>0</v>
      </c>
      <c r="Z28">
        <v>0</v>
      </c>
      <c r="AA28">
        <v>0</v>
      </c>
      <c r="AB28">
        <v>0</v>
      </c>
      <c r="AC28">
        <v>1</v>
      </c>
      <c r="AD28">
        <v>4</v>
      </c>
      <c r="AE28">
        <v>166.8</v>
      </c>
      <c r="AF28">
        <v>1.6679999999999999</v>
      </c>
      <c r="AG28">
        <v>2.7822239999999998</v>
      </c>
      <c r="AH28">
        <v>57.299999</v>
      </c>
      <c r="AI28">
        <v>20.595034399999999</v>
      </c>
      <c r="AJ28">
        <v>0</v>
      </c>
      <c r="AK28">
        <f>_xlfn.XLOOKUP(C28,[1]SPACE_GSS_3!$G:$G,[1]SPACE_GSS_3!$AP:$AP)</f>
        <v>1</v>
      </c>
      <c r="AL28">
        <f>_xlfn.XLOOKUP(C28,[1]SPACE_GSS_3!$G:$G,[1]SPACE_GSS_3!$BM:$BM)</f>
        <v>12.4</v>
      </c>
    </row>
    <row r="29" spans="1:38" x14ac:dyDescent="0.25">
      <c r="A29">
        <v>40</v>
      </c>
      <c r="B29">
        <v>55</v>
      </c>
      <c r="C29">
        <v>56</v>
      </c>
      <c r="D29">
        <v>0</v>
      </c>
      <c r="E29">
        <v>1</v>
      </c>
      <c r="F29">
        <v>1</v>
      </c>
      <c r="G29">
        <v>1</v>
      </c>
      <c r="H29">
        <v>14.2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4</v>
      </c>
      <c r="P29">
        <v>164.60001</v>
      </c>
      <c r="Q29">
        <v>1.6460001</v>
      </c>
      <c r="R29">
        <v>2.709316329</v>
      </c>
      <c r="S29">
        <v>43.299999</v>
      </c>
      <c r="T29">
        <v>15.98189127</v>
      </c>
      <c r="U29">
        <v>0</v>
      </c>
      <c r="V29" t="s">
        <v>36</v>
      </c>
      <c r="W29">
        <v>15.4</v>
      </c>
      <c r="X29">
        <v>2</v>
      </c>
      <c r="Y29">
        <v>0</v>
      </c>
      <c r="Z29">
        <v>0</v>
      </c>
      <c r="AA29">
        <v>0</v>
      </c>
      <c r="AB29">
        <v>0</v>
      </c>
      <c r="AC29">
        <v>1</v>
      </c>
      <c r="AD29">
        <v>5</v>
      </c>
      <c r="AE29">
        <v>165.3</v>
      </c>
      <c r="AF29">
        <v>1.653</v>
      </c>
      <c r="AG29">
        <v>2.7324090000000001</v>
      </c>
      <c r="AH29">
        <v>45.299999</v>
      </c>
      <c r="AI29">
        <v>16.578776820000002</v>
      </c>
      <c r="AJ29">
        <v>0</v>
      </c>
      <c r="AK29">
        <f>_xlfn.XLOOKUP(C29,[1]SPACE_GSS_3!$G:$G,[1]SPACE_GSS_3!$AP:$AP)</f>
        <v>1</v>
      </c>
      <c r="AL29">
        <f>_xlfn.XLOOKUP(C29,[1]SPACE_GSS_3!$G:$G,[1]SPACE_GSS_3!$BM:$BM)</f>
        <v>14.25</v>
      </c>
    </row>
    <row r="30" spans="1:38" x14ac:dyDescent="0.25">
      <c r="A30">
        <v>102</v>
      </c>
      <c r="B30">
        <v>57</v>
      </c>
      <c r="C30">
        <v>58</v>
      </c>
      <c r="D30">
        <v>0</v>
      </c>
      <c r="E30">
        <v>1</v>
      </c>
      <c r="F30">
        <v>1</v>
      </c>
      <c r="G30">
        <v>0</v>
      </c>
      <c r="H30">
        <v>12.2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3</v>
      </c>
      <c r="P30">
        <v>153.19999999999999</v>
      </c>
      <c r="Q30">
        <v>1.532</v>
      </c>
      <c r="R30">
        <v>2.3470240000000002</v>
      </c>
      <c r="S30">
        <v>56.099997999999999</v>
      </c>
      <c r="T30">
        <v>23.902609429999998</v>
      </c>
      <c r="U30">
        <v>0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 t="s">
        <v>36</v>
      </c>
      <c r="AK30">
        <f>_xlfn.XLOOKUP(C30,[1]SPACE_GSS_3!$G:$G,[1]SPACE_GSS_3!$AP:$AP)</f>
        <v>2</v>
      </c>
      <c r="AL30">
        <f>_xlfn.XLOOKUP(C30,[1]SPACE_GSS_3!$G:$G,[1]SPACE_GSS_3!$BM:$BM)</f>
        <v>18</v>
      </c>
    </row>
    <row r="31" spans="1:38" x14ac:dyDescent="0.25">
      <c r="A31">
        <v>41</v>
      </c>
      <c r="B31">
        <v>59</v>
      </c>
      <c r="C31">
        <v>60</v>
      </c>
      <c r="D31">
        <v>0</v>
      </c>
      <c r="E31">
        <v>1</v>
      </c>
      <c r="F31">
        <v>1</v>
      </c>
      <c r="G31">
        <v>1</v>
      </c>
      <c r="H31">
        <v>13.6</v>
      </c>
      <c r="I31">
        <v>2</v>
      </c>
      <c r="J31">
        <v>0</v>
      </c>
      <c r="K31">
        <v>0</v>
      </c>
      <c r="L31">
        <v>0</v>
      </c>
      <c r="M31">
        <v>0</v>
      </c>
      <c r="N31">
        <v>1</v>
      </c>
      <c r="O31">
        <v>4</v>
      </c>
      <c r="P31">
        <v>165</v>
      </c>
      <c r="Q31">
        <v>1.65</v>
      </c>
      <c r="R31">
        <v>2.7225000000000001</v>
      </c>
      <c r="S31">
        <v>55.099997999999999</v>
      </c>
      <c r="T31">
        <v>20.238750410000002</v>
      </c>
      <c r="U31">
        <v>0</v>
      </c>
      <c r="V31" t="s">
        <v>36</v>
      </c>
      <c r="W31">
        <v>14.6</v>
      </c>
      <c r="X31">
        <v>2</v>
      </c>
      <c r="Y31">
        <v>0</v>
      </c>
      <c r="Z31">
        <v>0</v>
      </c>
      <c r="AA31">
        <v>0</v>
      </c>
      <c r="AB31">
        <v>0</v>
      </c>
      <c r="AC31">
        <v>1</v>
      </c>
      <c r="AD31">
        <v>4</v>
      </c>
      <c r="AE31">
        <v>169</v>
      </c>
      <c r="AF31">
        <v>1.69</v>
      </c>
      <c r="AG31">
        <v>2.8561000000000001</v>
      </c>
      <c r="AH31">
        <v>62.599997999999999</v>
      </c>
      <c r="AI31">
        <v>21.91799937</v>
      </c>
      <c r="AJ31">
        <v>0</v>
      </c>
      <c r="AK31">
        <f>_xlfn.XLOOKUP(C31,[1]SPACE_GSS_3!$G:$G,[1]SPACE_GSS_3!$AP:$AP)</f>
        <v>2</v>
      </c>
      <c r="AL31">
        <f>_xlfn.XLOOKUP(C31,[1]SPACE_GSS_3!$G:$G,[1]SPACE_GSS_3!$BM:$BM)</f>
        <v>18.8</v>
      </c>
    </row>
    <row r="32" spans="1:38" x14ac:dyDescent="0.25">
      <c r="A32">
        <v>62</v>
      </c>
      <c r="B32">
        <v>61</v>
      </c>
      <c r="C32">
        <v>62</v>
      </c>
      <c r="D32">
        <v>0</v>
      </c>
      <c r="E32">
        <v>1</v>
      </c>
      <c r="F32">
        <v>1</v>
      </c>
      <c r="G32">
        <v>1</v>
      </c>
      <c r="H32">
        <v>13.5</v>
      </c>
      <c r="I32">
        <v>2</v>
      </c>
      <c r="J32">
        <v>0</v>
      </c>
      <c r="K32">
        <v>0</v>
      </c>
      <c r="L32">
        <v>0</v>
      </c>
      <c r="M32">
        <v>0</v>
      </c>
      <c r="N32">
        <v>1</v>
      </c>
      <c r="O32">
        <v>5</v>
      </c>
      <c r="P32">
        <v>159.19999999999999</v>
      </c>
      <c r="Q32">
        <v>1.5920000000000001</v>
      </c>
      <c r="R32">
        <v>2.5344639999999998</v>
      </c>
      <c r="S32">
        <v>68.800003000000004</v>
      </c>
      <c r="T32">
        <v>27.145780330000001</v>
      </c>
      <c r="U32">
        <v>-0.60000001999999997</v>
      </c>
      <c r="V32">
        <v>69.400002000000001</v>
      </c>
      <c r="W32">
        <v>14.6</v>
      </c>
      <c r="X32">
        <v>2</v>
      </c>
      <c r="Y32">
        <v>0</v>
      </c>
      <c r="Z32">
        <v>0</v>
      </c>
      <c r="AA32">
        <v>0</v>
      </c>
      <c r="AB32">
        <v>0</v>
      </c>
      <c r="AC32">
        <v>1</v>
      </c>
      <c r="AD32">
        <v>5</v>
      </c>
      <c r="AE32">
        <v>161.5</v>
      </c>
      <c r="AF32">
        <v>1.615</v>
      </c>
      <c r="AG32">
        <v>2.608225</v>
      </c>
      <c r="AH32">
        <v>62.5</v>
      </c>
      <c r="AI32">
        <v>23.962656599999999</v>
      </c>
      <c r="AJ32">
        <v>0</v>
      </c>
      <c r="AK32">
        <f>_xlfn.XLOOKUP(C32,[1]SPACE_GSS_3!$G:$G,[1]SPACE_GSS_3!$AP:$AP)</f>
        <v>2</v>
      </c>
      <c r="AL32">
        <f>_xlfn.XLOOKUP(C32,[1]SPACE_GSS_3!$G:$G,[1]SPACE_GSS_3!$BM:$BM)</f>
        <v>20.85</v>
      </c>
    </row>
    <row r="33" spans="1:38" x14ac:dyDescent="0.25">
      <c r="A33">
        <v>95</v>
      </c>
      <c r="B33">
        <v>63</v>
      </c>
      <c r="C33">
        <v>64</v>
      </c>
      <c r="D33">
        <v>0</v>
      </c>
      <c r="E33">
        <v>1</v>
      </c>
      <c r="F33">
        <v>1</v>
      </c>
      <c r="G33">
        <v>0</v>
      </c>
      <c r="H33">
        <v>12.7</v>
      </c>
      <c r="I33">
        <v>2</v>
      </c>
      <c r="J33">
        <v>1</v>
      </c>
      <c r="K33">
        <v>0</v>
      </c>
      <c r="L33">
        <v>0</v>
      </c>
      <c r="M33">
        <v>0</v>
      </c>
      <c r="N33">
        <v>1</v>
      </c>
      <c r="O33">
        <v>5</v>
      </c>
      <c r="P33">
        <v>161.5</v>
      </c>
      <c r="Q33">
        <v>1.615</v>
      </c>
      <c r="R33">
        <v>2.608225</v>
      </c>
      <c r="S33">
        <v>52.099997999999999</v>
      </c>
      <c r="T33">
        <v>19.975269770000001</v>
      </c>
      <c r="U33">
        <v>0.1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 t="s">
        <v>36</v>
      </c>
      <c r="AK33">
        <f>_xlfn.XLOOKUP(C33,[1]SPACE_GSS_3!$G:$G,[1]SPACE_GSS_3!$AP:$AP)</f>
        <v>0</v>
      </c>
      <c r="AL33">
        <f>_xlfn.XLOOKUP(C33,[1]SPACE_GSS_3!$G:$G,[1]SPACE_GSS_3!$BM:$BM)</f>
        <v>13.4</v>
      </c>
    </row>
    <row r="34" spans="1:38" x14ac:dyDescent="0.25">
      <c r="A34">
        <v>71</v>
      </c>
      <c r="B34">
        <v>65</v>
      </c>
      <c r="C34">
        <v>66</v>
      </c>
      <c r="D34">
        <v>0</v>
      </c>
      <c r="E34">
        <v>1</v>
      </c>
      <c r="F34">
        <v>1</v>
      </c>
      <c r="G34">
        <v>1</v>
      </c>
      <c r="H34">
        <v>11.6</v>
      </c>
      <c r="I34">
        <v>2</v>
      </c>
      <c r="J34">
        <v>1</v>
      </c>
      <c r="K34">
        <v>0</v>
      </c>
      <c r="L34">
        <v>0</v>
      </c>
      <c r="M34">
        <v>0</v>
      </c>
      <c r="N34">
        <v>0</v>
      </c>
      <c r="O34">
        <v>5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>
        <v>12.7</v>
      </c>
      <c r="X34">
        <v>2</v>
      </c>
      <c r="Y34">
        <v>1</v>
      </c>
      <c r="Z34">
        <v>0</v>
      </c>
      <c r="AA34">
        <v>0</v>
      </c>
      <c r="AB34">
        <v>0</v>
      </c>
      <c r="AC34">
        <v>0</v>
      </c>
      <c r="AD34">
        <v>5</v>
      </c>
      <c r="AE34">
        <v>153.10001</v>
      </c>
      <c r="AF34">
        <v>1.5310001</v>
      </c>
      <c r="AG34">
        <v>2.3439613060000002</v>
      </c>
      <c r="AH34">
        <v>42.900002000000001</v>
      </c>
      <c r="AI34">
        <v>18.302350759999999</v>
      </c>
      <c r="AJ34">
        <v>0</v>
      </c>
      <c r="AK34">
        <f>_xlfn.XLOOKUP(C34,[1]SPACE_GSS_3!$G:$G,[1]SPACE_GSS_3!$AP:$AP)</f>
        <v>1</v>
      </c>
      <c r="AL34">
        <f>_xlfn.XLOOKUP(C34,[1]SPACE_GSS_3!$G:$G,[1]SPACE_GSS_3!$BM:$BM)</f>
        <v>26.35</v>
      </c>
    </row>
    <row r="35" spans="1:38" x14ac:dyDescent="0.25">
      <c r="A35">
        <v>67</v>
      </c>
      <c r="B35">
        <v>67</v>
      </c>
      <c r="C35">
        <v>68</v>
      </c>
      <c r="D35">
        <v>0</v>
      </c>
      <c r="E35">
        <v>1</v>
      </c>
      <c r="F35">
        <v>1</v>
      </c>
      <c r="G35">
        <v>0</v>
      </c>
      <c r="H35" t="s">
        <v>36</v>
      </c>
      <c r="I35" t="s">
        <v>36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36</v>
      </c>
      <c r="P35">
        <v>175</v>
      </c>
      <c r="Q35">
        <v>1.75</v>
      </c>
      <c r="R35">
        <v>3.0625</v>
      </c>
      <c r="S35">
        <v>55.299999</v>
      </c>
      <c r="T35">
        <v>18.05714253</v>
      </c>
      <c r="U35">
        <v>0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  <c r="AJ35" t="s">
        <v>36</v>
      </c>
      <c r="AK35">
        <f>_xlfn.XLOOKUP(C35,[1]SPACE_GSS_3!$G:$G,[1]SPACE_GSS_3!$AP:$AP)</f>
        <v>4</v>
      </c>
      <c r="AL35">
        <f>_xlfn.XLOOKUP(C35,[1]SPACE_GSS_3!$G:$G,[1]SPACE_GSS_3!$BM:$BM)</f>
        <v>15.65</v>
      </c>
    </row>
    <row r="36" spans="1:38" x14ac:dyDescent="0.25">
      <c r="A36">
        <v>72</v>
      </c>
      <c r="B36">
        <v>69</v>
      </c>
      <c r="C36">
        <v>70</v>
      </c>
      <c r="D36">
        <v>0</v>
      </c>
      <c r="E36">
        <v>1</v>
      </c>
      <c r="F36">
        <v>1</v>
      </c>
      <c r="G36">
        <v>1</v>
      </c>
      <c r="H36">
        <v>13.2</v>
      </c>
      <c r="I36">
        <v>2</v>
      </c>
      <c r="J36">
        <v>0</v>
      </c>
      <c r="K36">
        <v>0</v>
      </c>
      <c r="L36">
        <v>0</v>
      </c>
      <c r="M36">
        <v>0</v>
      </c>
      <c r="N36">
        <v>1</v>
      </c>
      <c r="O36">
        <v>3</v>
      </c>
      <c r="P36">
        <v>154.19999999999999</v>
      </c>
      <c r="Q36">
        <v>1.542</v>
      </c>
      <c r="R36">
        <v>2.377764</v>
      </c>
      <c r="S36">
        <v>47.299999</v>
      </c>
      <c r="T36">
        <v>19.892638210000001</v>
      </c>
      <c r="U36">
        <v>0</v>
      </c>
      <c r="V36" t="s">
        <v>36</v>
      </c>
      <c r="W36">
        <v>14.6</v>
      </c>
      <c r="X36">
        <v>2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</v>
      </c>
      <c r="AE36">
        <v>158.19999999999999</v>
      </c>
      <c r="AF36">
        <v>1.5820000000000001</v>
      </c>
      <c r="AG36">
        <v>2.5027240000000002</v>
      </c>
      <c r="AH36">
        <v>50.099997999999999</v>
      </c>
      <c r="AI36">
        <v>20.018187380000001</v>
      </c>
      <c r="AJ36">
        <v>0</v>
      </c>
      <c r="AK36">
        <f>_xlfn.XLOOKUP(C36,[1]SPACE_GSS_3!$G:$G,[1]SPACE_GSS_3!$AP:$AP)</f>
        <v>3</v>
      </c>
      <c r="AL36">
        <f>_xlfn.XLOOKUP(C36,[1]SPACE_GSS_3!$G:$G,[1]SPACE_GSS_3!$BM:$BM)</f>
        <v>26.4</v>
      </c>
    </row>
    <row r="37" spans="1:38" x14ac:dyDescent="0.25">
      <c r="A37">
        <v>75</v>
      </c>
      <c r="B37">
        <v>71</v>
      </c>
      <c r="C37">
        <v>72</v>
      </c>
      <c r="D37">
        <v>0</v>
      </c>
      <c r="E37">
        <v>1</v>
      </c>
      <c r="F37">
        <v>1</v>
      </c>
      <c r="G37">
        <v>1</v>
      </c>
      <c r="H37">
        <v>14</v>
      </c>
      <c r="I37">
        <v>2</v>
      </c>
      <c r="J37">
        <v>0</v>
      </c>
      <c r="K37">
        <v>0</v>
      </c>
      <c r="L37">
        <v>0</v>
      </c>
      <c r="M37">
        <v>0</v>
      </c>
      <c r="N37">
        <v>1</v>
      </c>
      <c r="O37">
        <v>4</v>
      </c>
      <c r="P37">
        <v>163.10001</v>
      </c>
      <c r="Q37">
        <v>1.6310001000000001</v>
      </c>
      <c r="R37">
        <v>2.6601613259999999</v>
      </c>
      <c r="S37">
        <v>61.900002000000001</v>
      </c>
      <c r="T37">
        <v>23.26926619</v>
      </c>
      <c r="U37">
        <v>0</v>
      </c>
      <c r="V37" t="s">
        <v>36</v>
      </c>
      <c r="W37">
        <v>15.6</v>
      </c>
      <c r="X37">
        <v>2</v>
      </c>
      <c r="Y37">
        <v>0</v>
      </c>
      <c r="Z37">
        <v>0</v>
      </c>
      <c r="AA37">
        <v>0</v>
      </c>
      <c r="AB37">
        <v>0</v>
      </c>
      <c r="AC37">
        <v>1</v>
      </c>
      <c r="AD37">
        <v>4</v>
      </c>
      <c r="AE37">
        <v>165.10001</v>
      </c>
      <c r="AF37">
        <v>1.6510001000000001</v>
      </c>
      <c r="AG37">
        <v>2.7258013299999999</v>
      </c>
      <c r="AH37">
        <v>66.400002000000001</v>
      </c>
      <c r="AI37">
        <v>24.359809819999999</v>
      </c>
      <c r="AJ37">
        <v>-0.1</v>
      </c>
      <c r="AK37">
        <f>_xlfn.XLOOKUP(C37,[1]SPACE_GSS_3!$G:$G,[1]SPACE_GSS_3!$AP:$AP)</f>
        <v>2</v>
      </c>
      <c r="AL37">
        <f>_xlfn.XLOOKUP(C37,[1]SPACE_GSS_3!$G:$G,[1]SPACE_GSS_3!$BM:$BM)</f>
        <v>11.05</v>
      </c>
    </row>
    <row r="38" spans="1:38" x14ac:dyDescent="0.25">
      <c r="A38">
        <v>70</v>
      </c>
      <c r="B38">
        <v>73</v>
      </c>
      <c r="C38">
        <v>74</v>
      </c>
      <c r="D38">
        <v>0</v>
      </c>
      <c r="E38">
        <v>1</v>
      </c>
      <c r="F38">
        <v>1</v>
      </c>
      <c r="G38">
        <v>1</v>
      </c>
      <c r="H38">
        <v>16.100000000000001</v>
      </c>
      <c r="I38">
        <v>2</v>
      </c>
      <c r="J38">
        <v>0</v>
      </c>
      <c r="K38">
        <v>0</v>
      </c>
      <c r="L38">
        <v>0</v>
      </c>
      <c r="M38">
        <v>0</v>
      </c>
      <c r="N38">
        <v>1</v>
      </c>
      <c r="O38">
        <v>5</v>
      </c>
      <c r="P38">
        <v>174.39999</v>
      </c>
      <c r="Q38">
        <v>1.7439998999999999</v>
      </c>
      <c r="R38">
        <v>3.0415356509999998</v>
      </c>
      <c r="S38">
        <v>63.700001</v>
      </c>
      <c r="T38">
        <v>20.943368190000001</v>
      </c>
      <c r="U38">
        <v>0</v>
      </c>
      <c r="V38" t="s">
        <v>36</v>
      </c>
      <c r="W38">
        <v>16.899999999999999</v>
      </c>
      <c r="X38">
        <v>2</v>
      </c>
      <c r="Y38">
        <v>0</v>
      </c>
      <c r="Z38">
        <v>0</v>
      </c>
      <c r="AA38">
        <v>0</v>
      </c>
      <c r="AB38">
        <v>0</v>
      </c>
      <c r="AC38">
        <v>1</v>
      </c>
      <c r="AD38">
        <v>5</v>
      </c>
      <c r="AE38" t="s">
        <v>36</v>
      </c>
      <c r="AF38" t="s">
        <v>36</v>
      </c>
      <c r="AG38" t="s">
        <v>36</v>
      </c>
      <c r="AH38" t="s">
        <v>36</v>
      </c>
      <c r="AI38" t="s">
        <v>36</v>
      </c>
      <c r="AJ38" t="s">
        <v>36</v>
      </c>
      <c r="AK38">
        <f>_xlfn.XLOOKUP(C38,[1]SPACE_GSS_3!$G:$G,[1]SPACE_GSS_3!$AP:$AP)</f>
        <v>0</v>
      </c>
      <c r="AL38">
        <f>_xlfn.XLOOKUP(C38,[1]SPACE_GSS_3!$G:$G,[1]SPACE_GSS_3!$BM:$BM)</f>
        <v>6.6</v>
      </c>
    </row>
    <row r="39" spans="1:38" x14ac:dyDescent="0.25">
      <c r="A39">
        <v>73</v>
      </c>
      <c r="B39">
        <v>75</v>
      </c>
      <c r="C39">
        <v>76</v>
      </c>
      <c r="D39">
        <v>0</v>
      </c>
      <c r="E39">
        <v>1</v>
      </c>
      <c r="F39">
        <v>1</v>
      </c>
      <c r="G39">
        <v>1</v>
      </c>
      <c r="H39">
        <v>15.7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</v>
      </c>
      <c r="P39">
        <v>170</v>
      </c>
      <c r="Q39">
        <v>1.7</v>
      </c>
      <c r="R39">
        <v>2.89</v>
      </c>
      <c r="S39">
        <v>60.299999</v>
      </c>
      <c r="T39">
        <v>20.865051560000001</v>
      </c>
      <c r="U39">
        <v>0</v>
      </c>
      <c r="V39" t="s">
        <v>36</v>
      </c>
      <c r="W39">
        <v>17.5</v>
      </c>
      <c r="X39">
        <v>2</v>
      </c>
      <c r="Y39">
        <v>0</v>
      </c>
      <c r="Z39">
        <v>0</v>
      </c>
      <c r="AA39">
        <v>0</v>
      </c>
      <c r="AB39">
        <v>0</v>
      </c>
      <c r="AC39">
        <v>1</v>
      </c>
      <c r="AD39">
        <v>5</v>
      </c>
      <c r="AE39">
        <v>170.60001</v>
      </c>
      <c r="AF39">
        <v>1.7060001</v>
      </c>
      <c r="AG39">
        <v>2.910436341</v>
      </c>
      <c r="AH39">
        <v>63.400002000000001</v>
      </c>
      <c r="AI39">
        <v>21.783675909999999</v>
      </c>
      <c r="AJ39">
        <v>-0.1</v>
      </c>
      <c r="AK39">
        <f>_xlfn.XLOOKUP(C39,[1]SPACE_GSS_3!$G:$G,[1]SPACE_GSS_3!$AP:$AP)</f>
        <v>2</v>
      </c>
      <c r="AL39">
        <f>_xlfn.XLOOKUP(C39,[1]SPACE_GSS_3!$G:$G,[1]SPACE_GSS_3!$BM:$BM)</f>
        <v>24.65</v>
      </c>
    </row>
    <row r="40" spans="1:38" x14ac:dyDescent="0.25">
      <c r="A40">
        <v>84</v>
      </c>
      <c r="B40">
        <v>77</v>
      </c>
      <c r="C40">
        <v>78</v>
      </c>
      <c r="D40">
        <v>0</v>
      </c>
      <c r="E40">
        <v>1</v>
      </c>
      <c r="F40">
        <v>1</v>
      </c>
      <c r="G40">
        <v>1</v>
      </c>
      <c r="H40">
        <v>12.5</v>
      </c>
      <c r="I40">
        <v>2</v>
      </c>
      <c r="J40">
        <v>0</v>
      </c>
      <c r="K40">
        <v>0</v>
      </c>
      <c r="L40">
        <v>0</v>
      </c>
      <c r="M40">
        <v>0</v>
      </c>
      <c r="N40">
        <v>1</v>
      </c>
      <c r="O40">
        <v>4</v>
      </c>
      <c r="P40">
        <v>162.39999</v>
      </c>
      <c r="Q40">
        <v>1.6239999000000001</v>
      </c>
      <c r="R40">
        <v>2.6373756749999999</v>
      </c>
      <c r="S40">
        <v>49.900002000000001</v>
      </c>
      <c r="T40">
        <v>18.920323889999999</v>
      </c>
      <c r="U40">
        <v>0</v>
      </c>
      <c r="V40" t="s">
        <v>36</v>
      </c>
      <c r="W40">
        <v>14</v>
      </c>
      <c r="X40">
        <v>2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167.8</v>
      </c>
      <c r="AF40">
        <v>1.6779999999999999</v>
      </c>
      <c r="AG40">
        <v>2.8156840000000001</v>
      </c>
      <c r="AH40">
        <v>60.400002000000001</v>
      </c>
      <c r="AI40">
        <v>21.451271519999999</v>
      </c>
      <c r="AJ40">
        <v>0</v>
      </c>
      <c r="AK40">
        <f>_xlfn.XLOOKUP(C40,[1]SPACE_GSS_3!$G:$G,[1]SPACE_GSS_3!$AP:$AP)</f>
        <v>2</v>
      </c>
      <c r="AL40">
        <f>_xlfn.XLOOKUP(C40,[1]SPACE_GSS_3!$G:$G,[1]SPACE_GSS_3!$BM:$BM)</f>
        <v>14.9</v>
      </c>
    </row>
    <row r="41" spans="1:38" x14ac:dyDescent="0.25">
      <c r="A41">
        <v>68</v>
      </c>
      <c r="B41">
        <v>79</v>
      </c>
      <c r="C41">
        <v>80</v>
      </c>
      <c r="D41">
        <v>0</v>
      </c>
      <c r="E41">
        <v>1</v>
      </c>
      <c r="F41">
        <v>0</v>
      </c>
      <c r="G41">
        <v>0</v>
      </c>
      <c r="H41" t="s">
        <v>36</v>
      </c>
      <c r="I41" t="s">
        <v>36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36</v>
      </c>
      <c r="AG41" t="s">
        <v>36</v>
      </c>
      <c r="AH41" t="s">
        <v>36</v>
      </c>
      <c r="AI41" t="s">
        <v>36</v>
      </c>
      <c r="AJ41" t="s">
        <v>36</v>
      </c>
      <c r="AK41">
        <f>_xlfn.XLOOKUP(C41,[1]SPACE_GSS_3!$G:$G,[1]SPACE_GSS_3!$AP:$AP)</f>
        <v>3</v>
      </c>
      <c r="AL41">
        <f>_xlfn.XLOOKUP(C41,[1]SPACE_GSS_3!$G:$G,[1]SPACE_GSS_3!$BM:$BM)</f>
        <v>29.3</v>
      </c>
    </row>
    <row r="42" spans="1:38" x14ac:dyDescent="0.25">
      <c r="A42">
        <v>96</v>
      </c>
      <c r="B42">
        <v>81</v>
      </c>
      <c r="C42">
        <v>82</v>
      </c>
      <c r="D42">
        <v>0</v>
      </c>
      <c r="E42">
        <v>1</v>
      </c>
      <c r="F42">
        <v>1</v>
      </c>
      <c r="G42">
        <v>1</v>
      </c>
      <c r="H42">
        <v>13.5</v>
      </c>
      <c r="I42">
        <v>2</v>
      </c>
      <c r="J42">
        <v>0</v>
      </c>
      <c r="K42">
        <v>0</v>
      </c>
      <c r="L42">
        <v>0</v>
      </c>
      <c r="M42">
        <v>0</v>
      </c>
      <c r="N42">
        <v>1</v>
      </c>
      <c r="O42">
        <v>4</v>
      </c>
      <c r="P42">
        <v>168</v>
      </c>
      <c r="Q42">
        <v>1.68</v>
      </c>
      <c r="R42">
        <v>2.8224</v>
      </c>
      <c r="S42">
        <v>53.400002000000001</v>
      </c>
      <c r="T42">
        <v>18.920068740000001</v>
      </c>
      <c r="U42">
        <v>-0.1</v>
      </c>
      <c r="V42" t="s">
        <v>36</v>
      </c>
      <c r="W42">
        <v>14.8</v>
      </c>
      <c r="X42">
        <v>2</v>
      </c>
      <c r="Y42">
        <v>0</v>
      </c>
      <c r="Z42">
        <v>0</v>
      </c>
      <c r="AA42">
        <v>0</v>
      </c>
      <c r="AB42">
        <v>0</v>
      </c>
      <c r="AC42">
        <v>1</v>
      </c>
      <c r="AD42">
        <v>4</v>
      </c>
      <c r="AE42">
        <v>169.39999</v>
      </c>
      <c r="AF42">
        <v>1.6939998999999999</v>
      </c>
      <c r="AG42">
        <v>2.8696356609999998</v>
      </c>
      <c r="AH42">
        <v>55.799999</v>
      </c>
      <c r="AI42">
        <v>19.44497685</v>
      </c>
      <c r="AJ42">
        <v>-0.1</v>
      </c>
      <c r="AK42">
        <f>_xlfn.XLOOKUP(C42,[1]SPACE_GSS_3!$G:$G,[1]SPACE_GSS_3!$AP:$AP)</f>
        <v>0</v>
      </c>
      <c r="AL42">
        <f>_xlfn.XLOOKUP(C42,[1]SPACE_GSS_3!$G:$G,[1]SPACE_GSS_3!$BM:$BM)</f>
        <v>17.7</v>
      </c>
    </row>
    <row r="43" spans="1:38" x14ac:dyDescent="0.25">
      <c r="A43">
        <v>91</v>
      </c>
      <c r="B43">
        <v>83</v>
      </c>
      <c r="C43">
        <v>84</v>
      </c>
      <c r="D43">
        <v>0</v>
      </c>
      <c r="E43">
        <v>1</v>
      </c>
      <c r="F43">
        <v>1</v>
      </c>
      <c r="G43">
        <v>1</v>
      </c>
      <c r="H43">
        <v>12.8</v>
      </c>
      <c r="I43">
        <v>2</v>
      </c>
      <c r="J43">
        <v>0</v>
      </c>
      <c r="K43">
        <v>0</v>
      </c>
      <c r="L43">
        <v>0</v>
      </c>
      <c r="M43">
        <v>0</v>
      </c>
      <c r="N43">
        <v>1</v>
      </c>
      <c r="O43">
        <v>5</v>
      </c>
      <c r="P43">
        <v>163.39999</v>
      </c>
      <c r="Q43">
        <v>1.6339999000000001</v>
      </c>
      <c r="R43">
        <v>2.669955673</v>
      </c>
      <c r="S43">
        <v>46.099997999999999</v>
      </c>
      <c r="T43">
        <v>17.2662035</v>
      </c>
      <c r="U43">
        <v>0</v>
      </c>
      <c r="V43" t="s">
        <v>36</v>
      </c>
      <c r="W43">
        <v>14</v>
      </c>
      <c r="X43">
        <v>2</v>
      </c>
      <c r="Y43">
        <v>0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165.7</v>
      </c>
      <c r="AF43">
        <v>1.657</v>
      </c>
      <c r="AG43">
        <v>2.7456489999999998</v>
      </c>
      <c r="AH43">
        <v>49.900002000000001</v>
      </c>
      <c r="AI43">
        <v>18.174210179999999</v>
      </c>
      <c r="AJ43">
        <v>0.1</v>
      </c>
      <c r="AK43">
        <f>_xlfn.XLOOKUP(C43,[1]SPACE_GSS_3!$G:$G,[1]SPACE_GSS_3!$AP:$AP)</f>
        <v>2</v>
      </c>
      <c r="AL43" t="s">
        <v>36</v>
      </c>
    </row>
    <row r="44" spans="1:38" x14ac:dyDescent="0.25">
      <c r="A44">
        <v>103</v>
      </c>
      <c r="B44">
        <v>85</v>
      </c>
      <c r="C44">
        <v>86</v>
      </c>
      <c r="D44">
        <v>0</v>
      </c>
      <c r="E44">
        <v>1</v>
      </c>
      <c r="F44">
        <v>1</v>
      </c>
      <c r="G44">
        <v>1</v>
      </c>
      <c r="H44">
        <v>13.7</v>
      </c>
      <c r="I44">
        <v>2</v>
      </c>
      <c r="J44">
        <v>0</v>
      </c>
      <c r="K44">
        <v>0</v>
      </c>
      <c r="L44">
        <v>0</v>
      </c>
      <c r="M44">
        <v>0</v>
      </c>
      <c r="N44">
        <v>1</v>
      </c>
      <c r="O44">
        <v>3</v>
      </c>
      <c r="P44">
        <v>156.5</v>
      </c>
      <c r="Q44">
        <v>1.5649999999999999</v>
      </c>
      <c r="R44">
        <v>2.4492250000000002</v>
      </c>
      <c r="S44">
        <v>44.700001</v>
      </c>
      <c r="T44">
        <v>18.250671539999999</v>
      </c>
      <c r="U44">
        <v>0</v>
      </c>
      <c r="V44" t="s">
        <v>36</v>
      </c>
      <c r="W44">
        <v>15.5</v>
      </c>
      <c r="X44" t="s">
        <v>36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36</v>
      </c>
      <c r="AE44">
        <v>160.39999</v>
      </c>
      <c r="AF44">
        <v>1.6039999</v>
      </c>
      <c r="AG44">
        <v>2.5728156790000001</v>
      </c>
      <c r="AH44">
        <v>52.400002000000001</v>
      </c>
      <c r="AI44">
        <v>20.36679208</v>
      </c>
      <c r="AJ44">
        <v>0</v>
      </c>
      <c r="AK44">
        <f>_xlfn.XLOOKUP(C44,[1]SPACE_GSS_3!$G:$G,[1]SPACE_GSS_3!$AP:$AP)</f>
        <v>0</v>
      </c>
      <c r="AL44">
        <f>_xlfn.XLOOKUP(C44,[1]SPACE_GSS_3!$G:$G,[1]SPACE_GSS_3!$BM:$BM)</f>
        <v>22.5</v>
      </c>
    </row>
    <row r="45" spans="1:38" x14ac:dyDescent="0.25">
      <c r="A45">
        <v>66</v>
      </c>
      <c r="B45">
        <v>87</v>
      </c>
      <c r="C45">
        <v>88</v>
      </c>
      <c r="D45">
        <v>0</v>
      </c>
      <c r="E45">
        <v>1</v>
      </c>
      <c r="F45">
        <v>0</v>
      </c>
      <c r="G45">
        <v>0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  <c r="AI45" t="s">
        <v>36</v>
      </c>
      <c r="AJ45" t="s">
        <v>36</v>
      </c>
      <c r="AK45">
        <f>_xlfn.XLOOKUP(C45,[1]SPACE_GSS_3!$G:$G,[1]SPACE_GSS_3!$AP:$AP)</f>
        <v>3</v>
      </c>
      <c r="AL45">
        <f>_xlfn.XLOOKUP(C45,[1]SPACE_GSS_3!$G:$G,[1]SPACE_GSS_3!$BM:$BM)</f>
        <v>20.85</v>
      </c>
    </row>
    <row r="46" spans="1:38" x14ac:dyDescent="0.25">
      <c r="A46">
        <v>82</v>
      </c>
      <c r="B46">
        <v>89</v>
      </c>
      <c r="C46">
        <v>90</v>
      </c>
      <c r="D46">
        <v>0</v>
      </c>
      <c r="E46">
        <v>1</v>
      </c>
      <c r="F46">
        <v>1</v>
      </c>
      <c r="G46">
        <v>1</v>
      </c>
      <c r="H46">
        <v>13.2</v>
      </c>
      <c r="I46">
        <v>2</v>
      </c>
      <c r="J46">
        <v>1</v>
      </c>
      <c r="K46">
        <v>0</v>
      </c>
      <c r="L46">
        <v>0</v>
      </c>
      <c r="M46">
        <v>0</v>
      </c>
      <c r="N46">
        <v>0</v>
      </c>
      <c r="O46">
        <v>5</v>
      </c>
      <c r="P46">
        <v>148.5</v>
      </c>
      <c r="Q46">
        <v>1.4850000000000001</v>
      </c>
      <c r="R46">
        <v>2.205225</v>
      </c>
      <c r="S46">
        <v>34.299999</v>
      </c>
      <c r="T46">
        <v>15.55396796</v>
      </c>
      <c r="U46">
        <v>0</v>
      </c>
      <c r="V46" t="s">
        <v>36</v>
      </c>
      <c r="W46">
        <v>15.2</v>
      </c>
      <c r="X46">
        <v>2</v>
      </c>
      <c r="Y46">
        <v>1</v>
      </c>
      <c r="Z46">
        <v>0</v>
      </c>
      <c r="AA46">
        <v>0</v>
      </c>
      <c r="AB46">
        <v>0</v>
      </c>
      <c r="AC46">
        <v>0</v>
      </c>
      <c r="AD46">
        <v>5</v>
      </c>
      <c r="AE46">
        <v>152.5</v>
      </c>
      <c r="AF46">
        <v>1.5249999999999999</v>
      </c>
      <c r="AG46">
        <v>2.3256250000000001</v>
      </c>
      <c r="AH46">
        <v>37.700001</v>
      </c>
      <c r="AI46">
        <v>16.210696479999999</v>
      </c>
      <c r="AJ46">
        <v>0</v>
      </c>
      <c r="AK46">
        <f>_xlfn.XLOOKUP(C46,[1]SPACE_GSS_3!$G:$G,[1]SPACE_GSS_3!$AP:$AP)</f>
        <v>3</v>
      </c>
      <c r="AL46">
        <f>_xlfn.XLOOKUP(C46,[1]SPACE_GSS_3!$G:$G,[1]SPACE_GSS_3!$BM:$BM)</f>
        <v>19.25</v>
      </c>
    </row>
    <row r="47" spans="1:38" x14ac:dyDescent="0.25">
      <c r="A47">
        <v>76</v>
      </c>
      <c r="B47">
        <v>91</v>
      </c>
      <c r="C47">
        <v>92</v>
      </c>
      <c r="D47">
        <v>0</v>
      </c>
      <c r="E47">
        <v>1</v>
      </c>
      <c r="F47">
        <v>0</v>
      </c>
      <c r="G47">
        <v>0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t="s">
        <v>36</v>
      </c>
      <c r="AJ47" t="s">
        <v>36</v>
      </c>
      <c r="AK47">
        <f>_xlfn.XLOOKUP(C47,[1]SPACE_GSS_3!$G:$G,[1]SPACE_GSS_3!$AP:$AP)</f>
        <v>3</v>
      </c>
      <c r="AL47">
        <f>_xlfn.XLOOKUP(C47,[1]SPACE_GSS_3!$G:$G,[1]SPACE_GSS_3!$BM:$BM)</f>
        <v>18.649999999999999</v>
      </c>
    </row>
    <row r="48" spans="1:38" x14ac:dyDescent="0.25">
      <c r="A48">
        <v>69</v>
      </c>
      <c r="B48">
        <v>93</v>
      </c>
      <c r="C48">
        <v>94</v>
      </c>
      <c r="D48">
        <v>0</v>
      </c>
      <c r="E48">
        <v>1</v>
      </c>
      <c r="F48">
        <v>1</v>
      </c>
      <c r="G48">
        <v>1</v>
      </c>
      <c r="H48">
        <v>14.3</v>
      </c>
      <c r="I48">
        <v>2</v>
      </c>
      <c r="J48">
        <v>0</v>
      </c>
      <c r="K48">
        <v>0</v>
      </c>
      <c r="L48">
        <v>0</v>
      </c>
      <c r="M48">
        <v>0</v>
      </c>
      <c r="N48">
        <v>1</v>
      </c>
      <c r="O48">
        <v>5</v>
      </c>
      <c r="P48">
        <v>168.39999</v>
      </c>
      <c r="Q48">
        <v>1.6839999000000001</v>
      </c>
      <c r="R48">
        <v>2.8358556629999998</v>
      </c>
      <c r="S48">
        <v>51.799999</v>
      </c>
      <c r="T48">
        <v>18.266091490000001</v>
      </c>
      <c r="U48">
        <v>0.1</v>
      </c>
      <c r="V48" t="s">
        <v>36</v>
      </c>
      <c r="W48">
        <v>15.8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>
        <v>171.10001</v>
      </c>
      <c r="AF48">
        <v>1.7110000999999999</v>
      </c>
      <c r="AG48">
        <v>2.9275213419999999</v>
      </c>
      <c r="AH48">
        <v>57.799999</v>
      </c>
      <c r="AI48">
        <v>19.743664429999999</v>
      </c>
      <c r="AJ48">
        <v>0</v>
      </c>
      <c r="AK48">
        <f>_xlfn.XLOOKUP(C48,[1]SPACE_GSS_3!$G:$G,[1]SPACE_GSS_3!$AP:$AP)</f>
        <v>3</v>
      </c>
      <c r="AL48">
        <f>_xlfn.XLOOKUP(C48,[1]SPACE_GSS_3!$G:$G,[1]SPACE_GSS_3!$BM:$BM)</f>
        <v>9.6999999999999993</v>
      </c>
    </row>
    <row r="49" spans="1:38" x14ac:dyDescent="0.25">
      <c r="A49">
        <v>89</v>
      </c>
      <c r="B49">
        <v>95</v>
      </c>
      <c r="C49">
        <v>96</v>
      </c>
      <c r="D49">
        <v>0</v>
      </c>
      <c r="E49">
        <v>1</v>
      </c>
      <c r="F49">
        <v>1</v>
      </c>
      <c r="G49">
        <v>1</v>
      </c>
      <c r="H49">
        <v>12.7</v>
      </c>
      <c r="I49">
        <v>2</v>
      </c>
      <c r="J49">
        <v>0</v>
      </c>
      <c r="K49">
        <v>0</v>
      </c>
      <c r="L49">
        <v>0</v>
      </c>
      <c r="M49">
        <v>0</v>
      </c>
      <c r="N49">
        <v>1</v>
      </c>
      <c r="O49">
        <v>5</v>
      </c>
      <c r="P49">
        <v>156.89999</v>
      </c>
      <c r="Q49">
        <v>1.5689998999999999</v>
      </c>
      <c r="R49">
        <v>2.4617606859999999</v>
      </c>
      <c r="S49">
        <v>53.400002000000001</v>
      </c>
      <c r="T49">
        <v>21.691792499999998</v>
      </c>
      <c r="U49">
        <v>0.1</v>
      </c>
      <c r="V49" t="s">
        <v>36</v>
      </c>
      <c r="W49">
        <v>14</v>
      </c>
      <c r="X49">
        <v>2</v>
      </c>
      <c r="Y49">
        <v>0</v>
      </c>
      <c r="Z49">
        <v>0</v>
      </c>
      <c r="AA49">
        <v>0</v>
      </c>
      <c r="AB49">
        <v>0</v>
      </c>
      <c r="AC49">
        <v>1</v>
      </c>
      <c r="AD49">
        <v>5</v>
      </c>
      <c r="AE49">
        <v>159.39999</v>
      </c>
      <c r="AF49">
        <v>1.5939999</v>
      </c>
      <c r="AG49">
        <v>2.5408356809999999</v>
      </c>
      <c r="AH49">
        <v>53.799999</v>
      </c>
      <c r="AI49">
        <v>21.174135499999998</v>
      </c>
      <c r="AJ49">
        <v>0.1</v>
      </c>
      <c r="AK49">
        <f>_xlfn.XLOOKUP(C49,[1]SPACE_GSS_3!$G:$G,[1]SPACE_GSS_3!$AP:$AP)</f>
        <v>1</v>
      </c>
      <c r="AL49">
        <f>_xlfn.XLOOKUP(C49,[1]SPACE_GSS_3!$G:$G,[1]SPACE_GSS_3!$BM:$BM)</f>
        <v>8.15</v>
      </c>
    </row>
    <row r="50" spans="1:38" x14ac:dyDescent="0.25">
      <c r="A50">
        <v>90</v>
      </c>
      <c r="B50">
        <v>97</v>
      </c>
      <c r="C50">
        <v>98</v>
      </c>
      <c r="D50">
        <v>0</v>
      </c>
      <c r="E50">
        <v>1</v>
      </c>
      <c r="F50">
        <v>1</v>
      </c>
      <c r="G50">
        <v>1</v>
      </c>
      <c r="H50">
        <v>11.9</v>
      </c>
      <c r="I50">
        <v>2</v>
      </c>
      <c r="J50">
        <v>0</v>
      </c>
      <c r="K50">
        <v>0</v>
      </c>
      <c r="L50">
        <v>0</v>
      </c>
      <c r="M50">
        <v>0</v>
      </c>
      <c r="N50">
        <v>1</v>
      </c>
      <c r="O50">
        <v>4</v>
      </c>
      <c r="P50">
        <v>158</v>
      </c>
      <c r="Q50">
        <v>1.58</v>
      </c>
      <c r="R50">
        <v>2.4964</v>
      </c>
      <c r="S50">
        <v>59.599997999999999</v>
      </c>
      <c r="T50">
        <v>23.8743783</v>
      </c>
      <c r="U50">
        <v>0</v>
      </c>
      <c r="V50" t="s">
        <v>36</v>
      </c>
      <c r="W50">
        <v>13.6</v>
      </c>
      <c r="X50" t="s">
        <v>36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36</v>
      </c>
      <c r="AE50">
        <v>162.69999999999999</v>
      </c>
      <c r="AF50">
        <v>1.627</v>
      </c>
      <c r="AG50">
        <v>2.6471290000000001</v>
      </c>
      <c r="AH50">
        <v>69.699996999999996</v>
      </c>
      <c r="AI50">
        <v>26.33041193</v>
      </c>
      <c r="AJ50">
        <v>0.1</v>
      </c>
      <c r="AK50">
        <f>_xlfn.XLOOKUP(C50,[1]SPACE_GSS_3!$G:$G,[1]SPACE_GSS_3!$AP:$AP)</f>
        <v>2</v>
      </c>
      <c r="AL50">
        <f>_xlfn.XLOOKUP(C50,[1]SPACE_GSS_3!$G:$G,[1]SPACE_GSS_3!$BM:$BM)</f>
        <v>17.649999999999999</v>
      </c>
    </row>
    <row r="51" spans="1:38" x14ac:dyDescent="0.25">
      <c r="A51">
        <v>78</v>
      </c>
      <c r="B51">
        <v>99</v>
      </c>
      <c r="C51">
        <v>100</v>
      </c>
      <c r="D51">
        <v>0</v>
      </c>
      <c r="E51">
        <v>1</v>
      </c>
      <c r="F51">
        <v>1</v>
      </c>
      <c r="G51">
        <v>1</v>
      </c>
      <c r="H51">
        <v>14.5</v>
      </c>
      <c r="I51">
        <v>2</v>
      </c>
      <c r="J51">
        <v>0</v>
      </c>
      <c r="K51">
        <v>0</v>
      </c>
      <c r="L51">
        <v>0</v>
      </c>
      <c r="M51">
        <v>0</v>
      </c>
      <c r="N51">
        <v>1</v>
      </c>
      <c r="O51">
        <v>5</v>
      </c>
      <c r="P51">
        <v>160.39999</v>
      </c>
      <c r="Q51">
        <v>1.6039999</v>
      </c>
      <c r="R51">
        <v>2.5728156790000001</v>
      </c>
      <c r="S51">
        <v>42.700001</v>
      </c>
      <c r="T51">
        <v>16.596603229999999</v>
      </c>
      <c r="U51">
        <v>0</v>
      </c>
      <c r="V51" t="s">
        <v>36</v>
      </c>
      <c r="W51">
        <v>15.9</v>
      </c>
      <c r="X51">
        <v>2</v>
      </c>
      <c r="Y51">
        <v>0</v>
      </c>
      <c r="Z51">
        <v>0</v>
      </c>
      <c r="AA51">
        <v>0</v>
      </c>
      <c r="AB51">
        <v>0</v>
      </c>
      <c r="AC51">
        <v>1</v>
      </c>
      <c r="AD51">
        <v>5</v>
      </c>
      <c r="AE51">
        <v>162</v>
      </c>
      <c r="AF51">
        <v>1.62</v>
      </c>
      <c r="AG51">
        <v>2.6244000000000001</v>
      </c>
      <c r="AH51">
        <v>50.299999</v>
      </c>
      <c r="AI51">
        <v>19.166285250000001</v>
      </c>
      <c r="AJ51">
        <v>0</v>
      </c>
      <c r="AK51">
        <f>_xlfn.XLOOKUP(C51,[1]SPACE_GSS_3!$G:$G,[1]SPACE_GSS_3!$AP:$AP)</f>
        <v>1</v>
      </c>
      <c r="AL51">
        <f>_xlfn.XLOOKUP(C51,[1]SPACE_GSS_3!$G:$G,[1]SPACE_GSS_3!$BM:$BM)</f>
        <v>16.899999999999999</v>
      </c>
    </row>
    <row r="52" spans="1:38" x14ac:dyDescent="0.25">
      <c r="A52">
        <v>99</v>
      </c>
      <c r="B52">
        <v>101</v>
      </c>
      <c r="C52">
        <v>102</v>
      </c>
      <c r="D52">
        <v>0</v>
      </c>
      <c r="E52">
        <v>1</v>
      </c>
      <c r="F52">
        <v>0</v>
      </c>
      <c r="G52">
        <v>0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t="s">
        <v>36</v>
      </c>
      <c r="AJ52" t="s">
        <v>36</v>
      </c>
      <c r="AK52">
        <f>_xlfn.XLOOKUP(C52,[1]SPACE_GSS_3!$G:$G,[1]SPACE_GSS_3!$AP:$AP)</f>
        <v>1</v>
      </c>
      <c r="AL52">
        <f>_xlfn.XLOOKUP(C52,[1]SPACE_GSS_3!$G:$G,[1]SPACE_GSS_3!$BM:$BM)</f>
        <v>10.55</v>
      </c>
    </row>
    <row r="53" spans="1:38" x14ac:dyDescent="0.25">
      <c r="A53">
        <v>97</v>
      </c>
      <c r="B53">
        <v>103</v>
      </c>
      <c r="C53">
        <v>104</v>
      </c>
      <c r="D53">
        <v>0</v>
      </c>
      <c r="E53">
        <v>1</v>
      </c>
      <c r="F53">
        <v>1</v>
      </c>
      <c r="G53">
        <v>1</v>
      </c>
      <c r="H53">
        <v>14.3</v>
      </c>
      <c r="I53">
        <v>2</v>
      </c>
      <c r="J53">
        <v>0</v>
      </c>
      <c r="K53">
        <v>0</v>
      </c>
      <c r="L53">
        <v>0</v>
      </c>
      <c r="M53">
        <v>0</v>
      </c>
      <c r="N53">
        <v>1</v>
      </c>
      <c r="O53">
        <v>5</v>
      </c>
      <c r="P53">
        <v>155.19999999999999</v>
      </c>
      <c r="Q53">
        <v>1.552</v>
      </c>
      <c r="R53">
        <v>2.4087040000000002</v>
      </c>
      <c r="S53">
        <v>41.900002000000001</v>
      </c>
      <c r="T53">
        <v>17.395247399999999</v>
      </c>
      <c r="U53">
        <v>0</v>
      </c>
      <c r="V53" t="s">
        <v>36</v>
      </c>
      <c r="W53">
        <v>15.8</v>
      </c>
      <c r="X53">
        <v>2</v>
      </c>
      <c r="Y53">
        <v>0</v>
      </c>
      <c r="Z53">
        <v>0</v>
      </c>
      <c r="AA53">
        <v>0</v>
      </c>
      <c r="AB53">
        <v>0</v>
      </c>
      <c r="AC53">
        <v>1</v>
      </c>
      <c r="AD53">
        <v>5</v>
      </c>
      <c r="AE53">
        <v>157.89999</v>
      </c>
      <c r="AF53">
        <v>1.5789998999999999</v>
      </c>
      <c r="AG53">
        <v>2.4932406839999999</v>
      </c>
      <c r="AH53">
        <v>45.099997999999999</v>
      </c>
      <c r="AI53">
        <v>18.088906649999998</v>
      </c>
      <c r="AJ53">
        <v>-0.1</v>
      </c>
      <c r="AK53">
        <f>_xlfn.XLOOKUP(C53,[1]SPACE_GSS_3!$G:$G,[1]SPACE_GSS_3!$AP:$AP)</f>
        <v>0</v>
      </c>
      <c r="AL53">
        <f>_xlfn.XLOOKUP(C53,[1]SPACE_GSS_3!$G:$G,[1]SPACE_GSS_3!$BM:$BM)</f>
        <v>13.65</v>
      </c>
    </row>
    <row r="54" spans="1:38" x14ac:dyDescent="0.25">
      <c r="A54">
        <v>98</v>
      </c>
      <c r="B54">
        <v>105</v>
      </c>
      <c r="C54">
        <v>106</v>
      </c>
      <c r="D54">
        <v>0</v>
      </c>
      <c r="E54">
        <v>1</v>
      </c>
      <c r="F54">
        <v>1</v>
      </c>
      <c r="G54">
        <v>1</v>
      </c>
      <c r="H54">
        <v>16.100000000000001</v>
      </c>
      <c r="I54">
        <v>2</v>
      </c>
      <c r="J54">
        <v>0</v>
      </c>
      <c r="K54">
        <v>0</v>
      </c>
      <c r="L54">
        <v>0</v>
      </c>
      <c r="M54">
        <v>0</v>
      </c>
      <c r="N54">
        <v>1</v>
      </c>
      <c r="O54">
        <v>3</v>
      </c>
      <c r="P54">
        <v>158.5</v>
      </c>
      <c r="Q54">
        <v>1.585</v>
      </c>
      <c r="R54">
        <v>2.5122249999999999</v>
      </c>
      <c r="S54">
        <v>52.200001</v>
      </c>
      <c r="T54">
        <v>20.778394049999999</v>
      </c>
      <c r="U54">
        <v>-0.1</v>
      </c>
      <c r="V54" t="s">
        <v>36</v>
      </c>
      <c r="W54">
        <v>17.2</v>
      </c>
      <c r="X54">
        <v>2</v>
      </c>
      <c r="Y54">
        <v>0</v>
      </c>
      <c r="Z54">
        <v>0</v>
      </c>
      <c r="AA54">
        <v>0</v>
      </c>
      <c r="AB54">
        <v>0</v>
      </c>
      <c r="AC54">
        <v>1</v>
      </c>
      <c r="AD54">
        <v>4</v>
      </c>
      <c r="AE54">
        <v>158</v>
      </c>
      <c r="AF54">
        <v>1.58</v>
      </c>
      <c r="AG54">
        <v>2.4964</v>
      </c>
      <c r="AH54">
        <v>54.799999</v>
      </c>
      <c r="AI54">
        <v>21.951609919999999</v>
      </c>
      <c r="AJ54">
        <v>0</v>
      </c>
      <c r="AK54">
        <f>_xlfn.XLOOKUP(C54,[1]SPACE_GSS_3!$G:$G,[1]SPACE_GSS_3!$AP:$AP)</f>
        <v>6</v>
      </c>
      <c r="AL54">
        <f>_xlfn.XLOOKUP(C54,[1]SPACE_GSS_3!$G:$G,[1]SPACE_GSS_3!$BM:$BM)</f>
        <v>11.75</v>
      </c>
    </row>
    <row r="55" spans="1:38" x14ac:dyDescent="0.25">
      <c r="A55">
        <v>81</v>
      </c>
      <c r="B55">
        <v>107</v>
      </c>
      <c r="C55">
        <v>108</v>
      </c>
      <c r="D55">
        <v>0</v>
      </c>
      <c r="E55">
        <v>1</v>
      </c>
      <c r="F55">
        <v>1</v>
      </c>
      <c r="G55">
        <v>0</v>
      </c>
      <c r="H55">
        <v>13.9</v>
      </c>
      <c r="I55">
        <v>2</v>
      </c>
      <c r="J55">
        <v>0</v>
      </c>
      <c r="K55">
        <v>0</v>
      </c>
      <c r="L55">
        <v>1</v>
      </c>
      <c r="M55">
        <v>0</v>
      </c>
      <c r="N55">
        <v>0</v>
      </c>
      <c r="O55">
        <v>2</v>
      </c>
      <c r="P55">
        <v>155.60001</v>
      </c>
      <c r="Q55">
        <v>1.5560001000000001</v>
      </c>
      <c r="R55">
        <v>2.4211363110000002</v>
      </c>
      <c r="S55">
        <v>56.799999</v>
      </c>
      <c r="T55">
        <v>23.460058289999999</v>
      </c>
      <c r="U55">
        <v>0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36</v>
      </c>
      <c r="AJ55" t="s">
        <v>36</v>
      </c>
      <c r="AK55">
        <f>_xlfn.XLOOKUP(C55,[1]SPACE_GSS_3!$G:$G,[1]SPACE_GSS_3!$AP:$AP)</f>
        <v>1</v>
      </c>
      <c r="AL55">
        <f>_xlfn.XLOOKUP(C55,[1]SPACE_GSS_3!$G:$G,[1]SPACE_GSS_3!$BM:$BM)</f>
        <v>11.7</v>
      </c>
    </row>
    <row r="56" spans="1:38" x14ac:dyDescent="0.25">
      <c r="A56">
        <v>77</v>
      </c>
      <c r="B56">
        <v>109</v>
      </c>
      <c r="C56">
        <v>110</v>
      </c>
      <c r="D56">
        <v>0</v>
      </c>
      <c r="E56">
        <v>1</v>
      </c>
      <c r="F56">
        <v>1</v>
      </c>
      <c r="G56">
        <v>1</v>
      </c>
      <c r="H56">
        <v>14</v>
      </c>
      <c r="I56">
        <v>2</v>
      </c>
      <c r="J56">
        <v>0</v>
      </c>
      <c r="K56">
        <v>0</v>
      </c>
      <c r="L56">
        <v>0</v>
      </c>
      <c r="M56">
        <v>0</v>
      </c>
      <c r="N56">
        <v>1</v>
      </c>
      <c r="O56">
        <v>5</v>
      </c>
      <c r="P56">
        <v>163.30000000000001</v>
      </c>
      <c r="Q56">
        <v>1.633</v>
      </c>
      <c r="R56">
        <v>2.6666889999999999</v>
      </c>
      <c r="S56">
        <v>53.200001</v>
      </c>
      <c r="T56">
        <v>19.949833300000002</v>
      </c>
      <c r="U56">
        <v>0</v>
      </c>
      <c r="V56" t="s">
        <v>36</v>
      </c>
      <c r="W56">
        <v>15.5</v>
      </c>
      <c r="X56">
        <v>2</v>
      </c>
      <c r="Y56">
        <v>0</v>
      </c>
      <c r="Z56">
        <v>0</v>
      </c>
      <c r="AA56">
        <v>0</v>
      </c>
      <c r="AB56">
        <v>0</v>
      </c>
      <c r="AC56">
        <v>1</v>
      </c>
      <c r="AD56">
        <v>5</v>
      </c>
      <c r="AE56">
        <v>165.89999</v>
      </c>
      <c r="AF56">
        <v>1.6589999</v>
      </c>
      <c r="AG56">
        <v>2.752280668</v>
      </c>
      <c r="AH56">
        <v>55.200001</v>
      </c>
      <c r="AI56">
        <v>20.056094439999999</v>
      </c>
      <c r="AJ56">
        <v>0</v>
      </c>
      <c r="AK56">
        <f>_xlfn.XLOOKUP(C56,[1]SPACE_GSS_3!$G:$G,[1]SPACE_GSS_3!$AP:$AP)</f>
        <v>1</v>
      </c>
      <c r="AL56">
        <f>_xlfn.XLOOKUP(C56,[1]SPACE_GSS_3!$G:$G,[1]SPACE_GSS_3!$BM:$BM)</f>
        <v>17.05</v>
      </c>
    </row>
    <row r="57" spans="1:38" x14ac:dyDescent="0.25">
      <c r="A57">
        <v>61</v>
      </c>
      <c r="B57">
        <v>111</v>
      </c>
      <c r="C57">
        <v>112</v>
      </c>
      <c r="D57">
        <v>0</v>
      </c>
      <c r="E57">
        <v>1</v>
      </c>
      <c r="F57">
        <v>0</v>
      </c>
      <c r="G57">
        <v>0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 t="s">
        <v>36</v>
      </c>
      <c r="AI57" t="s">
        <v>36</v>
      </c>
      <c r="AJ57" t="s">
        <v>36</v>
      </c>
      <c r="AK57">
        <f>_xlfn.XLOOKUP(C57,[1]SPACE_GSS_3!$G:$G,[1]SPACE_GSS_3!$AP:$AP)</f>
        <v>2</v>
      </c>
      <c r="AL57">
        <f>_xlfn.XLOOKUP(C57,[1]SPACE_GSS_3!$G:$G,[1]SPACE_GSS_3!$BM:$BM)</f>
        <v>22.1</v>
      </c>
    </row>
    <row r="58" spans="1:38" x14ac:dyDescent="0.25">
      <c r="A58">
        <v>65</v>
      </c>
      <c r="B58">
        <v>113</v>
      </c>
      <c r="C58">
        <v>114</v>
      </c>
      <c r="D58">
        <v>0</v>
      </c>
      <c r="E58">
        <v>1</v>
      </c>
      <c r="F58">
        <v>1</v>
      </c>
      <c r="G58">
        <v>1</v>
      </c>
      <c r="H58">
        <v>11.6</v>
      </c>
      <c r="I58">
        <v>2</v>
      </c>
      <c r="J58">
        <v>0</v>
      </c>
      <c r="K58">
        <v>0</v>
      </c>
      <c r="L58">
        <v>0</v>
      </c>
      <c r="M58">
        <v>0</v>
      </c>
      <c r="N58">
        <v>1</v>
      </c>
      <c r="O58">
        <v>5</v>
      </c>
      <c r="P58">
        <v>159.19999999999999</v>
      </c>
      <c r="Q58">
        <v>1.5920000000000001</v>
      </c>
      <c r="R58">
        <v>2.5344639999999998</v>
      </c>
      <c r="S58">
        <v>51.599997999999999</v>
      </c>
      <c r="T58">
        <v>20.35933357</v>
      </c>
      <c r="U58">
        <v>0</v>
      </c>
      <c r="V58" t="s">
        <v>36</v>
      </c>
      <c r="W58">
        <v>12.9</v>
      </c>
      <c r="X58">
        <v>2</v>
      </c>
      <c r="Y58">
        <v>0</v>
      </c>
      <c r="Z58">
        <v>0</v>
      </c>
      <c r="AA58">
        <v>0</v>
      </c>
      <c r="AB58">
        <v>0</v>
      </c>
      <c r="AC58">
        <v>1</v>
      </c>
      <c r="AD58">
        <v>5</v>
      </c>
      <c r="AE58">
        <v>163</v>
      </c>
      <c r="AF58">
        <v>1.63</v>
      </c>
      <c r="AG58">
        <v>2.6568999999999998</v>
      </c>
      <c r="AH58">
        <v>55.299999</v>
      </c>
      <c r="AI58">
        <v>20.813729909999999</v>
      </c>
      <c r="AJ58">
        <v>0</v>
      </c>
      <c r="AK58">
        <f>_xlfn.XLOOKUP(C58,[1]SPACE_GSS_3!$G:$G,[1]SPACE_GSS_3!$AP:$AP)</f>
        <v>1</v>
      </c>
      <c r="AL58">
        <f>_xlfn.XLOOKUP(C58,[1]SPACE_GSS_3!$G:$G,[1]SPACE_GSS_3!$BM:$BM)</f>
        <v>29.45</v>
      </c>
    </row>
    <row r="59" spans="1:38" x14ac:dyDescent="0.25">
      <c r="A59">
        <v>104</v>
      </c>
      <c r="B59">
        <v>115</v>
      </c>
      <c r="C59">
        <v>116</v>
      </c>
      <c r="D59">
        <v>0</v>
      </c>
      <c r="E59">
        <v>1</v>
      </c>
      <c r="F59">
        <v>1</v>
      </c>
      <c r="G59">
        <v>1</v>
      </c>
      <c r="H59">
        <v>15.1</v>
      </c>
      <c r="I59">
        <v>2</v>
      </c>
      <c r="J59">
        <v>1</v>
      </c>
      <c r="K59">
        <v>0</v>
      </c>
      <c r="L59">
        <v>0</v>
      </c>
      <c r="M59">
        <v>1</v>
      </c>
      <c r="N59">
        <v>1</v>
      </c>
      <c r="O59">
        <v>5</v>
      </c>
      <c r="P59">
        <v>158.39999</v>
      </c>
      <c r="Q59">
        <v>1.5839999</v>
      </c>
      <c r="R59">
        <v>2.5090556830000001</v>
      </c>
      <c r="S59">
        <v>64.199996999999996</v>
      </c>
      <c r="T59">
        <v>25.587314549999999</v>
      </c>
      <c r="U59">
        <v>0</v>
      </c>
      <c r="V59" t="s">
        <v>36</v>
      </c>
      <c r="W59">
        <v>16.2</v>
      </c>
      <c r="X59">
        <v>2</v>
      </c>
      <c r="Y59">
        <v>1</v>
      </c>
      <c r="Z59">
        <v>0</v>
      </c>
      <c r="AA59">
        <v>0</v>
      </c>
      <c r="AB59">
        <v>1</v>
      </c>
      <c r="AC59">
        <v>1</v>
      </c>
      <c r="AD59">
        <v>5</v>
      </c>
      <c r="AE59">
        <v>161</v>
      </c>
      <c r="AF59">
        <v>1.61</v>
      </c>
      <c r="AG59">
        <v>2.5920999999999998</v>
      </c>
      <c r="AH59">
        <v>67</v>
      </c>
      <c r="AI59">
        <v>25.847768219999999</v>
      </c>
      <c r="AJ59">
        <v>0</v>
      </c>
      <c r="AK59">
        <f>_xlfn.XLOOKUP(C59,[1]SPACE_GSS_3!$G:$G,[1]SPACE_GSS_3!$AP:$AP)</f>
        <v>2</v>
      </c>
      <c r="AL59">
        <f>_xlfn.XLOOKUP(C59,[1]SPACE_GSS_3!$G:$G,[1]SPACE_GSS_3!$BM:$BM)</f>
        <v>16.05</v>
      </c>
    </row>
    <row r="60" spans="1:38" x14ac:dyDescent="0.25">
      <c r="A60">
        <v>93</v>
      </c>
      <c r="B60">
        <v>117</v>
      </c>
      <c r="C60">
        <v>118</v>
      </c>
      <c r="D60">
        <v>0</v>
      </c>
      <c r="E60">
        <v>1</v>
      </c>
      <c r="F60">
        <v>1</v>
      </c>
      <c r="G60">
        <v>1</v>
      </c>
      <c r="H60">
        <v>13.4</v>
      </c>
      <c r="I60">
        <v>2</v>
      </c>
      <c r="J60">
        <v>0</v>
      </c>
      <c r="K60">
        <v>0</v>
      </c>
      <c r="L60">
        <v>0</v>
      </c>
      <c r="M60">
        <v>0</v>
      </c>
      <c r="N60">
        <v>1</v>
      </c>
      <c r="O60">
        <v>5</v>
      </c>
      <c r="P60">
        <v>150.39999</v>
      </c>
      <c r="Q60">
        <v>1.5039998999999999</v>
      </c>
      <c r="R60">
        <v>2.262015699</v>
      </c>
      <c r="S60">
        <v>36</v>
      </c>
      <c r="T60">
        <v>15.915008909999999</v>
      </c>
      <c r="U60">
        <v>0</v>
      </c>
      <c r="V60" t="s">
        <v>36</v>
      </c>
      <c r="W60">
        <v>14.7</v>
      </c>
      <c r="X60">
        <v>2</v>
      </c>
      <c r="Y60">
        <v>0</v>
      </c>
      <c r="Z60">
        <v>0</v>
      </c>
      <c r="AA60">
        <v>0</v>
      </c>
      <c r="AB60">
        <v>0</v>
      </c>
      <c r="AC60">
        <v>1</v>
      </c>
      <c r="AD60">
        <v>5</v>
      </c>
      <c r="AE60">
        <v>153.19999999999999</v>
      </c>
      <c r="AF60">
        <v>1.532</v>
      </c>
      <c r="AG60">
        <v>2.3470240000000002</v>
      </c>
      <c r="AH60">
        <v>37.400002000000001</v>
      </c>
      <c r="AI60">
        <v>15.93507438</v>
      </c>
      <c r="AJ60">
        <v>0</v>
      </c>
      <c r="AK60">
        <f>_xlfn.XLOOKUP(C60,[1]SPACE_GSS_3!$G:$G,[1]SPACE_GSS_3!$AP:$AP)</f>
        <v>3</v>
      </c>
      <c r="AL60">
        <f>_xlfn.XLOOKUP(C60,[1]SPACE_GSS_3!$G:$G,[1]SPACE_GSS_3!$BM:$BM)</f>
        <v>10.95</v>
      </c>
    </row>
    <row r="61" spans="1:38" x14ac:dyDescent="0.25">
      <c r="A61">
        <v>87</v>
      </c>
      <c r="B61">
        <v>119</v>
      </c>
      <c r="C61">
        <v>120</v>
      </c>
      <c r="D61">
        <v>0</v>
      </c>
      <c r="E61">
        <v>1</v>
      </c>
      <c r="F61">
        <v>1</v>
      </c>
      <c r="G61">
        <v>1</v>
      </c>
      <c r="H61">
        <v>12.8</v>
      </c>
      <c r="I61">
        <v>2</v>
      </c>
      <c r="J61">
        <v>0</v>
      </c>
      <c r="K61">
        <v>0</v>
      </c>
      <c r="L61">
        <v>0</v>
      </c>
      <c r="M61">
        <v>0</v>
      </c>
      <c r="N61">
        <v>1</v>
      </c>
      <c r="O61">
        <v>5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>
        <v>14.1</v>
      </c>
      <c r="X61" t="s">
        <v>36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36</v>
      </c>
      <c r="AE61">
        <v>164.8</v>
      </c>
      <c r="AF61">
        <v>1.6479999999999999</v>
      </c>
      <c r="AG61">
        <v>2.7159040000000001</v>
      </c>
      <c r="AH61">
        <v>63.5</v>
      </c>
      <c r="AI61">
        <v>23.380796960000001</v>
      </c>
      <c r="AJ61">
        <v>0</v>
      </c>
      <c r="AK61">
        <f>_xlfn.XLOOKUP(C61,[1]SPACE_GSS_3!$G:$G,[1]SPACE_GSS_3!$AP:$AP)</f>
        <v>3</v>
      </c>
      <c r="AL61">
        <f>_xlfn.XLOOKUP(C61,[1]SPACE_GSS_3!$G:$G,[1]SPACE_GSS_3!$BM:$BM)</f>
        <v>12.55</v>
      </c>
    </row>
    <row r="62" spans="1:38" x14ac:dyDescent="0.25">
      <c r="A62">
        <v>101</v>
      </c>
      <c r="B62">
        <v>121</v>
      </c>
      <c r="C62">
        <v>122</v>
      </c>
      <c r="D62">
        <v>0</v>
      </c>
      <c r="E62">
        <v>1</v>
      </c>
      <c r="F62">
        <v>1</v>
      </c>
      <c r="G62">
        <v>1</v>
      </c>
      <c r="H62">
        <v>13.2</v>
      </c>
      <c r="I62">
        <v>2</v>
      </c>
      <c r="J62">
        <v>1</v>
      </c>
      <c r="K62">
        <v>0</v>
      </c>
      <c r="L62">
        <v>0</v>
      </c>
      <c r="M62">
        <v>0</v>
      </c>
      <c r="N62">
        <v>0</v>
      </c>
      <c r="O62">
        <v>5</v>
      </c>
      <c r="P62">
        <v>160</v>
      </c>
      <c r="Q62">
        <v>1.6</v>
      </c>
      <c r="R62">
        <v>2.56</v>
      </c>
      <c r="S62">
        <v>50.700001</v>
      </c>
      <c r="T62">
        <v>19.80468789</v>
      </c>
      <c r="U62">
        <v>0.1</v>
      </c>
      <c r="V62" t="s">
        <v>36</v>
      </c>
      <c r="W62">
        <v>14.5</v>
      </c>
      <c r="X62">
        <v>2</v>
      </c>
      <c r="Y62">
        <v>1</v>
      </c>
      <c r="Z62">
        <v>0</v>
      </c>
      <c r="AA62">
        <v>0</v>
      </c>
      <c r="AB62">
        <v>0</v>
      </c>
      <c r="AC62">
        <v>0</v>
      </c>
      <c r="AD62">
        <v>5</v>
      </c>
      <c r="AE62">
        <v>162.19999999999999</v>
      </c>
      <c r="AF62">
        <v>1.6220000000000001</v>
      </c>
      <c r="AG62">
        <v>2.630884</v>
      </c>
      <c r="AH62">
        <v>52.400002000000001</v>
      </c>
      <c r="AI62">
        <v>19.917260509999998</v>
      </c>
      <c r="AJ62">
        <v>0.1</v>
      </c>
      <c r="AK62">
        <f>_xlfn.XLOOKUP(C62,[1]SPACE_GSS_3!$G:$G,[1]SPACE_GSS_3!$AP:$AP)</f>
        <v>3</v>
      </c>
      <c r="AL62">
        <f>_xlfn.XLOOKUP(C62,[1]SPACE_GSS_3!$G:$G,[1]SPACE_GSS_3!$BM:$BM)</f>
        <v>7.3</v>
      </c>
    </row>
    <row r="63" spans="1:38" x14ac:dyDescent="0.25">
      <c r="A63">
        <v>100</v>
      </c>
      <c r="B63">
        <v>123</v>
      </c>
      <c r="C63">
        <v>124</v>
      </c>
      <c r="D63">
        <v>0</v>
      </c>
      <c r="E63">
        <v>1</v>
      </c>
      <c r="F63">
        <v>1</v>
      </c>
      <c r="G63">
        <v>1</v>
      </c>
      <c r="H63">
        <v>12.5</v>
      </c>
      <c r="I63">
        <v>2</v>
      </c>
      <c r="J63">
        <v>1</v>
      </c>
      <c r="K63">
        <v>0</v>
      </c>
      <c r="L63">
        <v>0</v>
      </c>
      <c r="M63">
        <v>0</v>
      </c>
      <c r="N63">
        <v>0</v>
      </c>
      <c r="O63">
        <v>5</v>
      </c>
      <c r="P63">
        <v>163.69999999999999</v>
      </c>
      <c r="Q63">
        <v>1.637</v>
      </c>
      <c r="R63">
        <v>2.6797689999999998</v>
      </c>
      <c r="S63">
        <v>50.900002000000001</v>
      </c>
      <c r="T63">
        <v>18.994175240000001</v>
      </c>
      <c r="U63">
        <v>0</v>
      </c>
      <c r="V63" t="s">
        <v>36</v>
      </c>
      <c r="W63">
        <v>14.1</v>
      </c>
      <c r="X63">
        <v>2</v>
      </c>
      <c r="Y63">
        <v>1</v>
      </c>
      <c r="Z63">
        <v>0</v>
      </c>
      <c r="AA63">
        <v>0</v>
      </c>
      <c r="AB63">
        <v>0</v>
      </c>
      <c r="AC63">
        <v>0</v>
      </c>
      <c r="AD63">
        <v>5</v>
      </c>
      <c r="AE63">
        <v>167.39999</v>
      </c>
      <c r="AF63">
        <v>1.6739999000000001</v>
      </c>
      <c r="AG63">
        <v>2.8022756649999998</v>
      </c>
      <c r="AH63">
        <v>50.599997999999999</v>
      </c>
      <c r="AI63">
        <v>18.056752459999998</v>
      </c>
      <c r="AJ63">
        <v>0</v>
      </c>
      <c r="AK63">
        <f>_xlfn.XLOOKUP(C63,[1]SPACE_GSS_3!$G:$G,[1]SPACE_GSS_3!$AP:$AP)</f>
        <v>3</v>
      </c>
      <c r="AL63">
        <f>_xlfn.XLOOKUP(C63,[1]SPACE_GSS_3!$G:$G,[1]SPACE_GSS_3!$BM:$BM)</f>
        <v>3.1</v>
      </c>
    </row>
    <row r="64" spans="1:38" x14ac:dyDescent="0.25">
      <c r="A64">
        <v>79</v>
      </c>
      <c r="B64">
        <v>125</v>
      </c>
      <c r="C64">
        <v>126</v>
      </c>
      <c r="D64">
        <v>0</v>
      </c>
      <c r="E64">
        <v>1</v>
      </c>
      <c r="F64">
        <v>1</v>
      </c>
      <c r="G64">
        <v>1</v>
      </c>
      <c r="H64">
        <v>12.3</v>
      </c>
      <c r="I64">
        <v>2</v>
      </c>
      <c r="J64">
        <v>1</v>
      </c>
      <c r="K64">
        <v>0</v>
      </c>
      <c r="L64">
        <v>0</v>
      </c>
      <c r="M64">
        <v>0</v>
      </c>
      <c r="N64">
        <v>1</v>
      </c>
      <c r="O64">
        <v>5</v>
      </c>
      <c r="P64">
        <v>165.89999</v>
      </c>
      <c r="Q64">
        <v>1.6589999</v>
      </c>
      <c r="R64">
        <v>2.752280668</v>
      </c>
      <c r="S64">
        <v>51.700001</v>
      </c>
      <c r="T64">
        <v>18.784421810000001</v>
      </c>
      <c r="U64">
        <v>0</v>
      </c>
      <c r="V64" t="s">
        <v>36</v>
      </c>
      <c r="W64">
        <v>13.8</v>
      </c>
      <c r="X64">
        <v>2</v>
      </c>
      <c r="Y64">
        <v>1</v>
      </c>
      <c r="Z64">
        <v>0</v>
      </c>
      <c r="AA64">
        <v>0</v>
      </c>
      <c r="AB64">
        <v>0</v>
      </c>
      <c r="AC64">
        <v>1</v>
      </c>
      <c r="AD64">
        <v>5</v>
      </c>
      <c r="AE64">
        <v>169.5</v>
      </c>
      <c r="AF64">
        <v>1.6950000000000001</v>
      </c>
      <c r="AG64">
        <v>2.8730250000000002</v>
      </c>
      <c r="AH64">
        <v>54.799999</v>
      </c>
      <c r="AI64">
        <v>19.073972210000001</v>
      </c>
      <c r="AJ64">
        <v>-0.1</v>
      </c>
      <c r="AK64">
        <f>_xlfn.XLOOKUP(C64,[1]SPACE_GSS_3!$G:$G,[1]SPACE_GSS_3!$AP:$AP)</f>
        <v>0</v>
      </c>
      <c r="AL64">
        <f>_xlfn.XLOOKUP(C64,[1]SPACE_GSS_3!$G:$G,[1]SPACE_GSS_3!$BM:$BM)</f>
        <v>14.05</v>
      </c>
    </row>
    <row r="65" spans="1:38" x14ac:dyDescent="0.25">
      <c r="A65">
        <v>74</v>
      </c>
      <c r="B65">
        <v>127</v>
      </c>
      <c r="C65">
        <v>128</v>
      </c>
      <c r="D65">
        <v>0</v>
      </c>
      <c r="E65">
        <v>1</v>
      </c>
      <c r="F65">
        <v>0</v>
      </c>
      <c r="G65">
        <v>0</v>
      </c>
      <c r="H65" t="s">
        <v>36</v>
      </c>
      <c r="I65" t="s">
        <v>36</v>
      </c>
      <c r="J65" t="s">
        <v>36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  <c r="AG65" t="s">
        <v>36</v>
      </c>
      <c r="AH65" t="s">
        <v>36</v>
      </c>
      <c r="AI65" t="s">
        <v>36</v>
      </c>
      <c r="AJ65" t="s">
        <v>36</v>
      </c>
      <c r="AK65">
        <f>_xlfn.XLOOKUP(C65,[1]SPACE_GSS_3!$G:$G,[1]SPACE_GSS_3!$AP:$AP)</f>
        <v>1</v>
      </c>
      <c r="AL65">
        <f>_xlfn.XLOOKUP(C65,[1]SPACE_GSS_3!$G:$G,[1]SPACE_GSS_3!$BM:$BM)</f>
        <v>22.15</v>
      </c>
    </row>
    <row r="66" spans="1:38" x14ac:dyDescent="0.25">
      <c r="A66">
        <v>114</v>
      </c>
      <c r="B66">
        <v>129</v>
      </c>
      <c r="C66">
        <v>130</v>
      </c>
      <c r="D66">
        <v>0</v>
      </c>
      <c r="E66">
        <v>1</v>
      </c>
      <c r="F66">
        <v>1</v>
      </c>
      <c r="G66">
        <v>1</v>
      </c>
      <c r="H66">
        <v>14.2</v>
      </c>
      <c r="I66">
        <v>2</v>
      </c>
      <c r="J66">
        <v>0</v>
      </c>
      <c r="K66">
        <v>0</v>
      </c>
      <c r="L66">
        <v>0</v>
      </c>
      <c r="M66">
        <v>0</v>
      </c>
      <c r="N66">
        <v>1</v>
      </c>
      <c r="O66">
        <v>5</v>
      </c>
      <c r="P66">
        <v>152.5</v>
      </c>
      <c r="Q66">
        <v>1.5249999999999999</v>
      </c>
      <c r="R66">
        <v>2.3256250000000001</v>
      </c>
      <c r="S66">
        <v>64.900002000000001</v>
      </c>
      <c r="T66">
        <v>27.90647761</v>
      </c>
      <c r="U66">
        <v>0.1</v>
      </c>
      <c r="V66" t="s">
        <v>36</v>
      </c>
      <c r="W66">
        <v>15.5</v>
      </c>
      <c r="X66">
        <v>2</v>
      </c>
      <c r="Y66">
        <v>0</v>
      </c>
      <c r="Z66">
        <v>0</v>
      </c>
      <c r="AA66">
        <v>0</v>
      </c>
      <c r="AB66">
        <v>0</v>
      </c>
      <c r="AC66">
        <v>1</v>
      </c>
      <c r="AD66">
        <v>5</v>
      </c>
      <c r="AE66">
        <v>154.5</v>
      </c>
      <c r="AF66">
        <v>1.5449999999999999</v>
      </c>
      <c r="AG66">
        <v>2.387025</v>
      </c>
      <c r="AH66">
        <v>67.199996999999996</v>
      </c>
      <c r="AI66">
        <v>28.15219656</v>
      </c>
      <c r="AJ66">
        <v>0</v>
      </c>
      <c r="AK66">
        <f>_xlfn.XLOOKUP(C66,[1]SPACE_GSS_3!$G:$G,[1]SPACE_GSS_3!$AP:$AP)</f>
        <v>4</v>
      </c>
      <c r="AL66">
        <f>_xlfn.XLOOKUP(C66,[1]SPACE_GSS_3!$G:$G,[1]SPACE_GSS_3!$BM:$BM)</f>
        <v>15.15</v>
      </c>
    </row>
    <row r="67" spans="1:38" x14ac:dyDescent="0.25">
      <c r="A67">
        <v>116</v>
      </c>
      <c r="B67">
        <v>131</v>
      </c>
      <c r="C67">
        <v>132</v>
      </c>
      <c r="D67">
        <v>0</v>
      </c>
      <c r="E67">
        <v>1</v>
      </c>
      <c r="F67">
        <v>1</v>
      </c>
      <c r="G67">
        <v>1</v>
      </c>
      <c r="H67">
        <v>12.3</v>
      </c>
      <c r="I67">
        <v>2</v>
      </c>
      <c r="J67">
        <v>0</v>
      </c>
      <c r="K67">
        <v>0</v>
      </c>
      <c r="L67">
        <v>0</v>
      </c>
      <c r="M67">
        <v>0</v>
      </c>
      <c r="N67">
        <v>1</v>
      </c>
      <c r="O67">
        <v>5</v>
      </c>
      <c r="P67">
        <v>161.39999</v>
      </c>
      <c r="Q67">
        <v>1.6139999</v>
      </c>
      <c r="R67">
        <v>2.6049956769999998</v>
      </c>
      <c r="S67">
        <v>64.800003000000004</v>
      </c>
      <c r="T67">
        <v>24.875282349999999</v>
      </c>
      <c r="U67">
        <v>0</v>
      </c>
      <c r="V67" t="s">
        <v>36</v>
      </c>
      <c r="W67">
        <v>13.5</v>
      </c>
      <c r="X67">
        <v>2</v>
      </c>
      <c r="Y67">
        <v>0</v>
      </c>
      <c r="Z67">
        <v>0</v>
      </c>
      <c r="AA67">
        <v>0</v>
      </c>
      <c r="AB67">
        <v>0</v>
      </c>
      <c r="AC67">
        <v>1</v>
      </c>
      <c r="AD67">
        <v>5</v>
      </c>
      <c r="AE67">
        <v>164.89999</v>
      </c>
      <c r="AF67">
        <v>1.6489999</v>
      </c>
      <c r="AG67">
        <v>2.7192006700000002</v>
      </c>
      <c r="AH67">
        <v>86.5</v>
      </c>
      <c r="AI67">
        <v>31.810818869999999</v>
      </c>
      <c r="AJ67">
        <v>-0.1</v>
      </c>
      <c r="AK67">
        <f>_xlfn.XLOOKUP(C67,[1]SPACE_GSS_3!$G:$G,[1]SPACE_GSS_3!$AP:$AP)</f>
        <v>0</v>
      </c>
      <c r="AL67">
        <f>_xlfn.XLOOKUP(C67,[1]SPACE_GSS_3!$G:$G,[1]SPACE_GSS_3!$BM:$BM)</f>
        <v>33.35</v>
      </c>
    </row>
    <row r="68" spans="1:38" x14ac:dyDescent="0.25">
      <c r="A68">
        <v>113</v>
      </c>
      <c r="B68">
        <v>133</v>
      </c>
      <c r="C68">
        <v>134</v>
      </c>
      <c r="D68">
        <v>0</v>
      </c>
      <c r="E68">
        <v>1</v>
      </c>
      <c r="F68">
        <v>1</v>
      </c>
      <c r="G68">
        <v>1</v>
      </c>
      <c r="H68">
        <v>13.1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5</v>
      </c>
      <c r="P68">
        <v>162.80000000000001</v>
      </c>
      <c r="Q68">
        <v>1.6279999999999999</v>
      </c>
      <c r="R68">
        <v>2.6503839999999999</v>
      </c>
      <c r="S68">
        <v>53.900002000000001</v>
      </c>
      <c r="T68">
        <v>20.336676499999999</v>
      </c>
      <c r="U68">
        <v>0.1</v>
      </c>
      <c r="V68" t="s">
        <v>36</v>
      </c>
      <c r="W68">
        <v>14.6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165.60001</v>
      </c>
      <c r="AF68">
        <v>1.6560001</v>
      </c>
      <c r="AG68">
        <v>2.7423363310000002</v>
      </c>
      <c r="AH68">
        <v>64.599997999999999</v>
      </c>
      <c r="AI68">
        <v>23.556555509999999</v>
      </c>
      <c r="AJ68">
        <v>0.1</v>
      </c>
      <c r="AK68">
        <f>_xlfn.XLOOKUP(C68,[1]SPACE_GSS_3!$G:$G,[1]SPACE_GSS_3!$AP:$AP)</f>
        <v>1</v>
      </c>
      <c r="AL68">
        <f>_xlfn.XLOOKUP(C68,[1]SPACE_GSS_3!$G:$G,[1]SPACE_GSS_3!$BM:$BM)</f>
        <v>16.95</v>
      </c>
    </row>
    <row r="69" spans="1:38" x14ac:dyDescent="0.25">
      <c r="A69">
        <v>120</v>
      </c>
      <c r="B69">
        <v>135</v>
      </c>
      <c r="C69">
        <v>136</v>
      </c>
      <c r="D69">
        <v>0</v>
      </c>
      <c r="E69">
        <v>1</v>
      </c>
      <c r="F69">
        <v>1</v>
      </c>
      <c r="G69">
        <v>1</v>
      </c>
      <c r="H69">
        <v>12.8</v>
      </c>
      <c r="I69">
        <v>2</v>
      </c>
      <c r="J69">
        <v>0</v>
      </c>
      <c r="K69">
        <v>0</v>
      </c>
      <c r="L69">
        <v>0</v>
      </c>
      <c r="M69">
        <v>0</v>
      </c>
      <c r="N69">
        <v>1</v>
      </c>
      <c r="O69">
        <v>5</v>
      </c>
      <c r="P69">
        <v>149.19999999999999</v>
      </c>
      <c r="Q69">
        <v>1.492</v>
      </c>
      <c r="R69">
        <v>2.226064</v>
      </c>
      <c r="S69">
        <v>40.700001</v>
      </c>
      <c r="T69">
        <v>18.283392119999998</v>
      </c>
      <c r="U69">
        <v>0</v>
      </c>
      <c r="V69" t="s">
        <v>36</v>
      </c>
      <c r="W69">
        <v>14</v>
      </c>
      <c r="X69">
        <v>2</v>
      </c>
      <c r="Y69">
        <v>0</v>
      </c>
      <c r="Z69">
        <v>0</v>
      </c>
      <c r="AA69">
        <v>0</v>
      </c>
      <c r="AB69">
        <v>0</v>
      </c>
      <c r="AC69">
        <v>1</v>
      </c>
      <c r="AD69">
        <v>5</v>
      </c>
      <c r="AE69">
        <v>155.5</v>
      </c>
      <c r="AF69">
        <v>1.5549999999999999</v>
      </c>
      <c r="AG69">
        <v>2.4180250000000001</v>
      </c>
      <c r="AH69">
        <v>49.200001</v>
      </c>
      <c r="AI69">
        <v>20.34718458</v>
      </c>
      <c r="AJ69">
        <v>0</v>
      </c>
      <c r="AK69">
        <f>_xlfn.XLOOKUP(C69,[1]SPACE_GSS_3!$G:$G,[1]SPACE_GSS_3!$AP:$AP)</f>
        <v>0</v>
      </c>
      <c r="AL69">
        <f>_xlfn.XLOOKUP(C69,[1]SPACE_GSS_3!$G:$G,[1]SPACE_GSS_3!$BM:$BM)</f>
        <v>23.55</v>
      </c>
    </row>
    <row r="70" spans="1:38" x14ac:dyDescent="0.25">
      <c r="A70">
        <v>108</v>
      </c>
      <c r="B70">
        <v>137</v>
      </c>
      <c r="C70">
        <v>138</v>
      </c>
      <c r="D70">
        <v>0</v>
      </c>
      <c r="E70">
        <v>1</v>
      </c>
      <c r="F70">
        <v>1</v>
      </c>
      <c r="G70">
        <v>1</v>
      </c>
      <c r="H70">
        <v>13.3</v>
      </c>
      <c r="I70">
        <v>2</v>
      </c>
      <c r="J70">
        <v>0</v>
      </c>
      <c r="K70">
        <v>0</v>
      </c>
      <c r="L70">
        <v>0</v>
      </c>
      <c r="M70">
        <v>0</v>
      </c>
      <c r="N70">
        <v>1</v>
      </c>
      <c r="O70">
        <v>5</v>
      </c>
      <c r="P70">
        <v>159.5</v>
      </c>
      <c r="Q70">
        <v>1.595</v>
      </c>
      <c r="R70">
        <v>2.544025</v>
      </c>
      <c r="S70">
        <v>53.099997999999999</v>
      </c>
      <c r="T70">
        <v>20.87243561</v>
      </c>
      <c r="U70">
        <v>0</v>
      </c>
      <c r="V70" t="s">
        <v>36</v>
      </c>
      <c r="W70">
        <v>14.8</v>
      </c>
      <c r="X70">
        <v>2</v>
      </c>
      <c r="Y70">
        <v>0</v>
      </c>
      <c r="Z70">
        <v>0</v>
      </c>
      <c r="AA70">
        <v>0</v>
      </c>
      <c r="AB70">
        <v>0</v>
      </c>
      <c r="AC70">
        <v>1</v>
      </c>
      <c r="AD70">
        <v>5</v>
      </c>
      <c r="AE70">
        <v>161.89999</v>
      </c>
      <c r="AF70">
        <v>1.6189998999999999</v>
      </c>
      <c r="AG70">
        <v>2.6211606760000001</v>
      </c>
      <c r="AH70">
        <v>53.799999</v>
      </c>
      <c r="AI70">
        <v>20.52525795</v>
      </c>
      <c r="AJ70">
        <v>-0.1</v>
      </c>
      <c r="AK70">
        <f>_xlfn.XLOOKUP(C70,[1]SPACE_GSS_3!$G:$G,[1]SPACE_GSS_3!$AP:$AP)</f>
        <v>1</v>
      </c>
      <c r="AL70">
        <f>_xlfn.XLOOKUP(C70,[1]SPACE_GSS_3!$G:$G,[1]SPACE_GSS_3!$BM:$BM)</f>
        <v>14.6</v>
      </c>
    </row>
    <row r="71" spans="1:38" x14ac:dyDescent="0.25">
      <c r="A71">
        <v>112</v>
      </c>
      <c r="B71">
        <v>139</v>
      </c>
      <c r="C71">
        <v>140</v>
      </c>
      <c r="D71">
        <v>0</v>
      </c>
      <c r="E71">
        <v>1</v>
      </c>
      <c r="F71">
        <v>1</v>
      </c>
      <c r="G71">
        <v>1</v>
      </c>
      <c r="H71">
        <v>12</v>
      </c>
      <c r="I71">
        <v>2</v>
      </c>
      <c r="J71">
        <v>0</v>
      </c>
      <c r="K71">
        <v>0</v>
      </c>
      <c r="L71">
        <v>0</v>
      </c>
      <c r="M71">
        <v>0</v>
      </c>
      <c r="N71">
        <v>1</v>
      </c>
      <c r="O71">
        <v>5</v>
      </c>
      <c r="P71">
        <v>153.39999</v>
      </c>
      <c r="Q71">
        <v>1.5339999</v>
      </c>
      <c r="R71">
        <v>2.3531556930000002</v>
      </c>
      <c r="S71">
        <v>47.400002000000001</v>
      </c>
      <c r="T71">
        <v>20.143164410000001</v>
      </c>
      <c r="U71">
        <v>0</v>
      </c>
      <c r="V71" t="s">
        <v>36</v>
      </c>
      <c r="W71">
        <v>14.4</v>
      </c>
      <c r="X71">
        <v>2</v>
      </c>
      <c r="Y71">
        <v>0</v>
      </c>
      <c r="Z71">
        <v>0</v>
      </c>
      <c r="AA71">
        <v>0</v>
      </c>
      <c r="AB71">
        <v>0</v>
      </c>
      <c r="AC71">
        <v>1</v>
      </c>
      <c r="AD71">
        <v>5</v>
      </c>
      <c r="AE71">
        <v>156.89999</v>
      </c>
      <c r="AF71">
        <v>1.5689998999999999</v>
      </c>
      <c r="AG71">
        <v>2.4617606859999999</v>
      </c>
      <c r="AH71">
        <v>56.200001</v>
      </c>
      <c r="AI71">
        <v>22.829189419999999</v>
      </c>
      <c r="AJ71">
        <v>0</v>
      </c>
      <c r="AK71">
        <f>_xlfn.XLOOKUP(C71,[1]SPACE_GSS_3!$G:$G,[1]SPACE_GSS_3!$AP:$AP)</f>
        <v>4</v>
      </c>
      <c r="AL71">
        <f>_xlfn.XLOOKUP(C71,[1]SPACE_GSS_3!$G:$G,[1]SPACE_GSS_3!$BM:$BM)</f>
        <v>10.5</v>
      </c>
    </row>
    <row r="72" spans="1:38" x14ac:dyDescent="0.25">
      <c r="A72">
        <v>107</v>
      </c>
      <c r="B72">
        <v>141</v>
      </c>
      <c r="C72">
        <v>142</v>
      </c>
      <c r="D72">
        <v>0</v>
      </c>
      <c r="E72">
        <v>1</v>
      </c>
      <c r="F72">
        <v>1</v>
      </c>
      <c r="G72">
        <v>1</v>
      </c>
      <c r="H72">
        <v>12.8</v>
      </c>
      <c r="I72" t="s">
        <v>36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36</v>
      </c>
      <c r="P72">
        <v>162</v>
      </c>
      <c r="Q72">
        <v>1.62</v>
      </c>
      <c r="R72">
        <v>2.6244000000000001</v>
      </c>
      <c r="S72">
        <v>58.700001</v>
      </c>
      <c r="T72">
        <v>22.3670176</v>
      </c>
      <c r="U72">
        <v>0</v>
      </c>
      <c r="V72" t="s">
        <v>36</v>
      </c>
      <c r="W72">
        <v>14.2</v>
      </c>
      <c r="X72">
        <v>2</v>
      </c>
      <c r="Y72">
        <v>1</v>
      </c>
      <c r="Z72">
        <v>0</v>
      </c>
      <c r="AA72">
        <v>0</v>
      </c>
      <c r="AB72">
        <v>0</v>
      </c>
      <c r="AC72">
        <v>1</v>
      </c>
      <c r="AD72">
        <v>5</v>
      </c>
      <c r="AE72">
        <v>162.39999</v>
      </c>
      <c r="AF72">
        <v>1.6239999000000001</v>
      </c>
      <c r="AG72">
        <v>2.6373756749999999</v>
      </c>
      <c r="AH72">
        <v>66.099997999999999</v>
      </c>
      <c r="AI72">
        <v>25.062792009999999</v>
      </c>
      <c r="AJ72">
        <v>0</v>
      </c>
      <c r="AK72">
        <f>_xlfn.XLOOKUP(C72,[1]SPACE_GSS_3!$G:$G,[1]SPACE_GSS_3!$AP:$AP)</f>
        <v>0</v>
      </c>
      <c r="AL72">
        <f>_xlfn.XLOOKUP(C72,[1]SPACE_GSS_3!$G:$G,[1]SPACE_GSS_3!$BM:$BM)</f>
        <v>8.65</v>
      </c>
    </row>
    <row r="73" spans="1:38" x14ac:dyDescent="0.25">
      <c r="A73">
        <v>106</v>
      </c>
      <c r="B73">
        <v>143</v>
      </c>
      <c r="C73">
        <v>144</v>
      </c>
      <c r="D73">
        <v>0</v>
      </c>
      <c r="E73">
        <v>1</v>
      </c>
      <c r="F73">
        <v>1</v>
      </c>
      <c r="G73">
        <v>0</v>
      </c>
      <c r="H73">
        <v>14.6</v>
      </c>
      <c r="I73" t="s">
        <v>36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36</v>
      </c>
      <c r="P73">
        <v>163.30000000000001</v>
      </c>
      <c r="Q73">
        <v>1.633</v>
      </c>
      <c r="R73">
        <v>2.6666889999999999</v>
      </c>
      <c r="S73">
        <v>57.700001</v>
      </c>
      <c r="T73">
        <v>21.637319160000001</v>
      </c>
      <c r="U73">
        <v>0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 t="s">
        <v>36</v>
      </c>
      <c r="AI73" t="s">
        <v>36</v>
      </c>
      <c r="AJ73" t="s">
        <v>36</v>
      </c>
      <c r="AK73">
        <f>_xlfn.XLOOKUP(C73,[1]SPACE_GSS_3!$G:$G,[1]SPACE_GSS_3!$AP:$AP)</f>
        <v>0</v>
      </c>
      <c r="AL73">
        <f>_xlfn.XLOOKUP(C73,[1]SPACE_GSS_3!$G:$G,[1]SPACE_GSS_3!$BM:$BM)</f>
        <v>23.55</v>
      </c>
    </row>
    <row r="74" spans="1:38" x14ac:dyDescent="0.25">
      <c r="A74">
        <v>126</v>
      </c>
      <c r="B74">
        <v>145</v>
      </c>
      <c r="C74">
        <v>146</v>
      </c>
      <c r="D74">
        <v>0</v>
      </c>
      <c r="E74">
        <v>1</v>
      </c>
      <c r="F74">
        <v>1</v>
      </c>
      <c r="G74">
        <v>1</v>
      </c>
      <c r="H74">
        <v>12.3</v>
      </c>
      <c r="I74">
        <v>2</v>
      </c>
      <c r="J74">
        <v>0</v>
      </c>
      <c r="K74">
        <v>0</v>
      </c>
      <c r="L74">
        <v>1</v>
      </c>
      <c r="M74">
        <v>0</v>
      </c>
      <c r="N74">
        <v>0</v>
      </c>
      <c r="O74">
        <v>3</v>
      </c>
      <c r="P74">
        <v>165.39999</v>
      </c>
      <c r="Q74">
        <v>1.6539999000000001</v>
      </c>
      <c r="R74">
        <v>2.7357156690000002</v>
      </c>
      <c r="S74">
        <v>83.599997999999999</v>
      </c>
      <c r="T74">
        <v>30.55873055</v>
      </c>
      <c r="U74">
        <v>0</v>
      </c>
      <c r="V74" t="s">
        <v>36</v>
      </c>
      <c r="W74">
        <v>13.9</v>
      </c>
      <c r="X74" t="s">
        <v>36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36</v>
      </c>
      <c r="AE74">
        <v>168.5</v>
      </c>
      <c r="AF74">
        <v>1.6850000000000001</v>
      </c>
      <c r="AG74">
        <v>2.8392249999999999</v>
      </c>
      <c r="AH74">
        <v>93.900002000000001</v>
      </c>
      <c r="AI74">
        <v>33.072406030000003</v>
      </c>
      <c r="AJ74">
        <v>-3.0999998999999998</v>
      </c>
      <c r="AK74">
        <f>_xlfn.XLOOKUP(C74,[1]SPACE_GSS_3!$G:$G,[1]SPACE_GSS_3!$AP:$AP)</f>
        <v>2</v>
      </c>
      <c r="AL74">
        <f>_xlfn.XLOOKUP(C74,[1]SPACE_GSS_3!$G:$G,[1]SPACE_GSS_3!$BM:$BM)</f>
        <v>20.7</v>
      </c>
    </row>
    <row r="75" spans="1:38" x14ac:dyDescent="0.25">
      <c r="A75">
        <v>117</v>
      </c>
      <c r="B75">
        <v>147</v>
      </c>
      <c r="C75">
        <v>148</v>
      </c>
      <c r="D75">
        <v>0</v>
      </c>
      <c r="E75">
        <v>1</v>
      </c>
      <c r="F75">
        <v>1</v>
      </c>
      <c r="G75">
        <v>1</v>
      </c>
      <c r="H75">
        <v>14.2</v>
      </c>
      <c r="I75">
        <v>2</v>
      </c>
      <c r="J75">
        <v>0</v>
      </c>
      <c r="K75">
        <v>0</v>
      </c>
      <c r="L75">
        <v>0</v>
      </c>
      <c r="M75">
        <v>0</v>
      </c>
      <c r="N75">
        <v>1</v>
      </c>
      <c r="O75">
        <v>5</v>
      </c>
      <c r="P75">
        <v>153.5</v>
      </c>
      <c r="Q75">
        <v>1.5349999999999999</v>
      </c>
      <c r="R75">
        <v>2.3562249999999998</v>
      </c>
      <c r="S75">
        <v>47</v>
      </c>
      <c r="T75">
        <v>19.94716124</v>
      </c>
      <c r="U75">
        <v>0.1</v>
      </c>
      <c r="V75" t="s">
        <v>36</v>
      </c>
      <c r="W75">
        <v>15.9</v>
      </c>
      <c r="X75">
        <v>2</v>
      </c>
      <c r="Y75">
        <v>0</v>
      </c>
      <c r="Z75">
        <v>0</v>
      </c>
      <c r="AA75">
        <v>0</v>
      </c>
      <c r="AB75">
        <v>0</v>
      </c>
      <c r="AC75">
        <v>1</v>
      </c>
      <c r="AD75">
        <v>5</v>
      </c>
      <c r="AE75">
        <v>155.60001</v>
      </c>
      <c r="AF75">
        <v>1.5560001000000001</v>
      </c>
      <c r="AG75">
        <v>2.4211363110000002</v>
      </c>
      <c r="AH75">
        <v>46.200001</v>
      </c>
      <c r="AI75">
        <v>19.081949569999999</v>
      </c>
      <c r="AJ75">
        <v>0</v>
      </c>
      <c r="AK75">
        <f>_xlfn.XLOOKUP(C75,[1]SPACE_GSS_3!$G:$G,[1]SPACE_GSS_3!$AP:$AP)</f>
        <v>3</v>
      </c>
      <c r="AL75">
        <f>_xlfn.XLOOKUP(C75,[1]SPACE_GSS_3!$G:$G,[1]SPACE_GSS_3!$BM:$BM)</f>
        <v>10.75</v>
      </c>
    </row>
    <row r="76" spans="1:38" x14ac:dyDescent="0.25">
      <c r="A76">
        <v>127</v>
      </c>
      <c r="B76">
        <v>149</v>
      </c>
      <c r="C76">
        <v>150</v>
      </c>
      <c r="D76">
        <v>0</v>
      </c>
      <c r="E76">
        <v>1</v>
      </c>
      <c r="F76">
        <v>1</v>
      </c>
      <c r="G76">
        <v>0</v>
      </c>
      <c r="H76">
        <v>12.5</v>
      </c>
      <c r="I76">
        <v>2</v>
      </c>
      <c r="J76">
        <v>0</v>
      </c>
      <c r="K76">
        <v>0</v>
      </c>
      <c r="L76">
        <v>0</v>
      </c>
      <c r="M76">
        <v>0</v>
      </c>
      <c r="N76">
        <v>1</v>
      </c>
      <c r="O76">
        <v>5</v>
      </c>
      <c r="P76">
        <v>178.5</v>
      </c>
      <c r="Q76">
        <v>1.7849999999999999</v>
      </c>
      <c r="R76">
        <v>3.1862249999999999</v>
      </c>
      <c r="S76">
        <v>56.400002000000001</v>
      </c>
      <c r="T76">
        <v>17.70119875</v>
      </c>
      <c r="U76">
        <v>0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 t="s">
        <v>36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>
        <f>_xlfn.XLOOKUP(C76,[1]SPACE_GSS_3!$G:$G,[1]SPACE_GSS_3!$AP:$AP)</f>
        <v>0</v>
      </c>
      <c r="AL76">
        <f>_xlfn.XLOOKUP(C76,[1]SPACE_GSS_3!$G:$G,[1]SPACE_GSS_3!$BM:$BM)</f>
        <v>34.9</v>
      </c>
    </row>
    <row r="77" spans="1:38" x14ac:dyDescent="0.25">
      <c r="A77">
        <v>111</v>
      </c>
      <c r="B77">
        <v>151</v>
      </c>
      <c r="C77">
        <v>152</v>
      </c>
      <c r="D77">
        <v>0</v>
      </c>
      <c r="E77">
        <v>1</v>
      </c>
      <c r="F77">
        <v>1</v>
      </c>
      <c r="G77">
        <v>1</v>
      </c>
      <c r="H77">
        <v>13.9</v>
      </c>
      <c r="I77">
        <v>2</v>
      </c>
      <c r="J77">
        <v>0</v>
      </c>
      <c r="K77">
        <v>0</v>
      </c>
      <c r="L77">
        <v>0</v>
      </c>
      <c r="M77">
        <v>0</v>
      </c>
      <c r="N77">
        <v>1</v>
      </c>
      <c r="O77">
        <v>5</v>
      </c>
      <c r="P77">
        <v>174.89999</v>
      </c>
      <c r="Q77">
        <v>1.7489999000000001</v>
      </c>
      <c r="R77">
        <v>3.0590006500000002</v>
      </c>
      <c r="S77">
        <v>69.400002000000001</v>
      </c>
      <c r="T77">
        <v>22.687148499999999</v>
      </c>
      <c r="U77">
        <v>0</v>
      </c>
      <c r="V77" t="s">
        <v>36</v>
      </c>
      <c r="W77">
        <v>14.8</v>
      </c>
      <c r="X77">
        <v>2</v>
      </c>
      <c r="Y77">
        <v>0</v>
      </c>
      <c r="Z77">
        <v>0</v>
      </c>
      <c r="AA77">
        <v>0</v>
      </c>
      <c r="AB77">
        <v>0</v>
      </c>
      <c r="AC77">
        <v>1</v>
      </c>
      <c r="AD77">
        <v>5</v>
      </c>
      <c r="AE77">
        <v>177.5</v>
      </c>
      <c r="AF77">
        <v>1.7749999999999999</v>
      </c>
      <c r="AG77">
        <v>3.1506249999999998</v>
      </c>
      <c r="AH77">
        <v>70.5</v>
      </c>
      <c r="AI77">
        <v>22.376512600000002</v>
      </c>
      <c r="AJ77">
        <v>0</v>
      </c>
      <c r="AK77">
        <f>_xlfn.XLOOKUP(C77,[1]SPACE_GSS_3!$G:$G,[1]SPACE_GSS_3!$AP:$AP)</f>
        <v>1</v>
      </c>
      <c r="AL77">
        <f>_xlfn.XLOOKUP(C77,[1]SPACE_GSS_3!$G:$G,[1]SPACE_GSS_3!$BM:$BM)</f>
        <v>25.35</v>
      </c>
    </row>
    <row r="78" spans="1:38" x14ac:dyDescent="0.25">
      <c r="A78">
        <v>115</v>
      </c>
      <c r="B78">
        <v>153</v>
      </c>
      <c r="C78">
        <v>154</v>
      </c>
      <c r="D78">
        <v>0</v>
      </c>
      <c r="E78">
        <v>1</v>
      </c>
      <c r="F78">
        <v>1</v>
      </c>
      <c r="G78">
        <v>0</v>
      </c>
      <c r="H78">
        <v>14.6</v>
      </c>
      <c r="I78">
        <v>2</v>
      </c>
      <c r="J78">
        <v>0</v>
      </c>
      <c r="K78">
        <v>0</v>
      </c>
      <c r="L78">
        <v>0</v>
      </c>
      <c r="M78">
        <v>0</v>
      </c>
      <c r="N78">
        <v>1</v>
      </c>
      <c r="O78">
        <v>5</v>
      </c>
      <c r="P78">
        <v>161.19999999999999</v>
      </c>
      <c r="Q78">
        <v>1.6120000000000001</v>
      </c>
      <c r="R78">
        <v>2.598544</v>
      </c>
      <c r="S78">
        <v>46.400002000000001</v>
      </c>
      <c r="T78">
        <v>17.856154060000001</v>
      </c>
      <c r="U78">
        <v>0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t="s">
        <v>36</v>
      </c>
      <c r="AJ78" t="s">
        <v>36</v>
      </c>
      <c r="AK78">
        <f>_xlfn.XLOOKUP(C78,[1]SPACE_GSS_3!$G:$G,[1]SPACE_GSS_3!$AP:$AP)</f>
        <v>5</v>
      </c>
      <c r="AL78">
        <f>_xlfn.XLOOKUP(C78,[1]SPACE_GSS_3!$G:$G,[1]SPACE_GSS_3!$BM:$BM)</f>
        <v>13.75</v>
      </c>
    </row>
    <row r="79" spans="1:38" x14ac:dyDescent="0.25">
      <c r="A79">
        <v>134</v>
      </c>
      <c r="B79">
        <v>155</v>
      </c>
      <c r="C79">
        <v>156</v>
      </c>
      <c r="D79">
        <v>0</v>
      </c>
      <c r="E79">
        <v>1</v>
      </c>
      <c r="F79">
        <v>0</v>
      </c>
      <c r="G79">
        <v>0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>
        <f>_xlfn.XLOOKUP(C79,[1]SPACE_GSS_3!$G:$G,[1]SPACE_GSS_3!$AP:$AP)</f>
        <v>0</v>
      </c>
      <c r="AL79">
        <f>_xlfn.XLOOKUP(C79,[1]SPACE_GSS_3!$G:$G,[1]SPACE_GSS_3!$BM:$BM)</f>
        <v>8.75</v>
      </c>
    </row>
    <row r="80" spans="1:38" x14ac:dyDescent="0.25">
      <c r="A80">
        <v>135</v>
      </c>
      <c r="B80">
        <v>157</v>
      </c>
      <c r="C80">
        <v>158</v>
      </c>
      <c r="D80">
        <v>0</v>
      </c>
      <c r="E80">
        <v>1</v>
      </c>
      <c r="F80">
        <v>1</v>
      </c>
      <c r="G80">
        <v>0</v>
      </c>
      <c r="H80">
        <v>14.8</v>
      </c>
      <c r="I80">
        <v>2</v>
      </c>
      <c r="J80">
        <v>0</v>
      </c>
      <c r="K80">
        <v>0</v>
      </c>
      <c r="L80">
        <v>0</v>
      </c>
      <c r="M80">
        <v>0</v>
      </c>
      <c r="N80">
        <v>1</v>
      </c>
      <c r="O80">
        <v>4</v>
      </c>
      <c r="P80">
        <v>175.39999</v>
      </c>
      <c r="Q80">
        <v>1.7539998999999999</v>
      </c>
      <c r="R80">
        <v>3.0765156490000001</v>
      </c>
      <c r="S80">
        <v>63</v>
      </c>
      <c r="T80">
        <v>20.477711540000001</v>
      </c>
      <c r="U80">
        <v>-0.1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>
        <f>_xlfn.XLOOKUP(C80,[1]SPACE_GSS_3!$G:$G,[1]SPACE_GSS_3!$AP:$AP)</f>
        <v>1</v>
      </c>
      <c r="AL80">
        <f>_xlfn.XLOOKUP(C80,[1]SPACE_GSS_3!$G:$G,[1]SPACE_GSS_3!$BM:$BM)</f>
        <v>20.6</v>
      </c>
    </row>
    <row r="81" spans="1:38" x14ac:dyDescent="0.25">
      <c r="A81">
        <v>130</v>
      </c>
      <c r="B81">
        <v>159</v>
      </c>
      <c r="C81">
        <v>160</v>
      </c>
      <c r="D81">
        <v>0</v>
      </c>
      <c r="E81">
        <v>1</v>
      </c>
      <c r="F81">
        <v>0</v>
      </c>
      <c r="G81">
        <v>1</v>
      </c>
      <c r="H81" t="s">
        <v>36</v>
      </c>
      <c r="I81" t="s">
        <v>36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>
        <v>14</v>
      </c>
      <c r="X81" t="s">
        <v>36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36</v>
      </c>
      <c r="AE81">
        <v>177</v>
      </c>
      <c r="AF81">
        <v>1.77</v>
      </c>
      <c r="AG81">
        <v>3.1328999999999998</v>
      </c>
      <c r="AH81">
        <v>68.199996999999996</v>
      </c>
      <c r="AI81">
        <v>21.76896709</v>
      </c>
      <c r="AJ81">
        <v>0</v>
      </c>
      <c r="AK81">
        <f>_xlfn.XLOOKUP(C81,[1]SPACE_GSS_3!$G:$G,[1]SPACE_GSS_3!$AP:$AP)</f>
        <v>1</v>
      </c>
      <c r="AL81">
        <f>_xlfn.XLOOKUP(C81,[1]SPACE_GSS_3!$G:$G,[1]SPACE_GSS_3!$BM:$BM)</f>
        <v>27.55</v>
      </c>
    </row>
    <row r="82" spans="1:38" x14ac:dyDescent="0.25">
      <c r="A82">
        <v>133</v>
      </c>
      <c r="B82">
        <v>161</v>
      </c>
      <c r="C82">
        <v>162</v>
      </c>
      <c r="D82">
        <v>0</v>
      </c>
      <c r="E82">
        <v>1</v>
      </c>
      <c r="F82">
        <v>1</v>
      </c>
      <c r="G82">
        <v>0</v>
      </c>
      <c r="H82">
        <v>11.6</v>
      </c>
      <c r="I82">
        <v>2</v>
      </c>
      <c r="J82">
        <v>0</v>
      </c>
      <c r="K82">
        <v>0</v>
      </c>
      <c r="L82">
        <v>0</v>
      </c>
      <c r="M82">
        <v>0</v>
      </c>
      <c r="N82">
        <v>1</v>
      </c>
      <c r="O82">
        <v>5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>
        <f>_xlfn.XLOOKUP(C82,[1]SPACE_GSS_3!$G:$G,[1]SPACE_GSS_3!$AP:$AP)</f>
        <v>0</v>
      </c>
      <c r="AL82">
        <f>_xlfn.XLOOKUP(C82,[1]SPACE_GSS_3!$G:$G,[1]SPACE_GSS_3!$BM:$BM)</f>
        <v>14.65</v>
      </c>
    </row>
    <row r="83" spans="1:38" x14ac:dyDescent="0.25">
      <c r="A83">
        <v>118</v>
      </c>
      <c r="B83">
        <v>163</v>
      </c>
      <c r="C83">
        <v>164</v>
      </c>
      <c r="D83">
        <v>0</v>
      </c>
      <c r="E83">
        <v>1</v>
      </c>
      <c r="F83">
        <v>0</v>
      </c>
      <c r="G83">
        <v>0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 t="s">
        <v>36</v>
      </c>
      <c r="AK83">
        <f>_xlfn.XLOOKUP(C83,[1]SPACE_GSS_3!$G:$G,[1]SPACE_GSS_3!$AP:$AP)</f>
        <v>2</v>
      </c>
      <c r="AL83">
        <f>_xlfn.XLOOKUP(C83,[1]SPACE_GSS_3!$G:$G,[1]SPACE_GSS_3!$BM:$BM)</f>
        <v>13.7</v>
      </c>
    </row>
    <row r="84" spans="1:38" x14ac:dyDescent="0.25">
      <c r="A84">
        <v>128</v>
      </c>
      <c r="B84">
        <v>165</v>
      </c>
      <c r="C84">
        <v>166</v>
      </c>
      <c r="D84">
        <v>0</v>
      </c>
      <c r="E84">
        <v>1</v>
      </c>
      <c r="F84">
        <v>1</v>
      </c>
      <c r="G84">
        <v>0</v>
      </c>
      <c r="H84">
        <v>13</v>
      </c>
      <c r="I84">
        <v>2</v>
      </c>
      <c r="J84">
        <v>0</v>
      </c>
      <c r="K84">
        <v>0</v>
      </c>
      <c r="L84">
        <v>0</v>
      </c>
      <c r="M84">
        <v>0</v>
      </c>
      <c r="N84">
        <v>1</v>
      </c>
      <c r="O84">
        <v>5</v>
      </c>
      <c r="P84">
        <v>171.7</v>
      </c>
      <c r="Q84">
        <v>1.7170000000000001</v>
      </c>
      <c r="R84">
        <v>2.948089</v>
      </c>
      <c r="S84">
        <v>57.900002000000001</v>
      </c>
      <c r="T84">
        <v>19.639841950000001</v>
      </c>
      <c r="U84">
        <v>0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 t="s">
        <v>36</v>
      </c>
      <c r="AK84">
        <f>_xlfn.XLOOKUP(C84,[1]SPACE_GSS_3!$G:$G,[1]SPACE_GSS_3!$AP:$AP)</f>
        <v>3</v>
      </c>
      <c r="AL84">
        <f>_xlfn.XLOOKUP(C84,[1]SPACE_GSS_3!$G:$G,[1]SPACE_GSS_3!$BM:$BM)</f>
        <v>5</v>
      </c>
    </row>
    <row r="85" spans="1:38" x14ac:dyDescent="0.25">
      <c r="A85">
        <v>122</v>
      </c>
      <c r="B85">
        <v>167</v>
      </c>
      <c r="C85">
        <v>168</v>
      </c>
      <c r="D85">
        <v>0</v>
      </c>
      <c r="E85">
        <v>1</v>
      </c>
      <c r="F85">
        <v>0</v>
      </c>
      <c r="G85">
        <v>0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>
        <f>_xlfn.XLOOKUP(C85,[1]SPACE_GSS_3!$G:$G,[1]SPACE_GSS_3!$AP:$AP)</f>
        <v>2</v>
      </c>
      <c r="AL85">
        <f>_xlfn.XLOOKUP(C85,[1]SPACE_GSS_3!$G:$G,[1]SPACE_GSS_3!$BM:$BM)</f>
        <v>25</v>
      </c>
    </row>
    <row r="86" spans="1:38" x14ac:dyDescent="0.25">
      <c r="A86">
        <v>119</v>
      </c>
      <c r="B86">
        <v>169</v>
      </c>
      <c r="C86">
        <v>170</v>
      </c>
      <c r="D86">
        <v>0</v>
      </c>
      <c r="E86">
        <v>1</v>
      </c>
      <c r="F86">
        <v>1</v>
      </c>
      <c r="G86">
        <v>1</v>
      </c>
      <c r="H86">
        <v>14.8</v>
      </c>
      <c r="I86">
        <v>2</v>
      </c>
      <c r="J86">
        <v>0</v>
      </c>
      <c r="K86">
        <v>0</v>
      </c>
      <c r="L86">
        <v>0</v>
      </c>
      <c r="M86">
        <v>0</v>
      </c>
      <c r="N86">
        <v>1</v>
      </c>
      <c r="O86">
        <v>4</v>
      </c>
      <c r="P86">
        <v>171</v>
      </c>
      <c r="Q86">
        <v>1.71</v>
      </c>
      <c r="R86">
        <v>2.9241000000000001</v>
      </c>
      <c r="S86">
        <v>50.900002000000001</v>
      </c>
      <c r="T86">
        <v>17.407066109999999</v>
      </c>
      <c r="U86">
        <v>0</v>
      </c>
      <c r="V86" t="s">
        <v>36</v>
      </c>
      <c r="W86">
        <v>15.9</v>
      </c>
      <c r="X86">
        <v>2</v>
      </c>
      <c r="Y86">
        <v>0</v>
      </c>
      <c r="Z86">
        <v>0</v>
      </c>
      <c r="AA86">
        <v>0</v>
      </c>
      <c r="AB86">
        <v>0</v>
      </c>
      <c r="AC86">
        <v>1</v>
      </c>
      <c r="AD86">
        <v>5</v>
      </c>
      <c r="AE86">
        <v>173.5</v>
      </c>
      <c r="AF86">
        <v>1.7350000000000001</v>
      </c>
      <c r="AG86">
        <v>3.0102250000000002</v>
      </c>
      <c r="AH86">
        <v>54.099997999999999</v>
      </c>
      <c r="AI86">
        <v>17.97207783</v>
      </c>
      <c r="AJ86">
        <v>0.1</v>
      </c>
      <c r="AK86">
        <f>_xlfn.XLOOKUP(C86,[1]SPACE_GSS_3!$G:$G,[1]SPACE_GSS_3!$AP:$AP)</f>
        <v>0</v>
      </c>
      <c r="AL86">
        <f>_xlfn.XLOOKUP(C86,[1]SPACE_GSS_3!$G:$G,[1]SPACE_GSS_3!$BM:$BM)</f>
        <v>10.199999999999999</v>
      </c>
    </row>
    <row r="87" spans="1:38" x14ac:dyDescent="0.25">
      <c r="A87">
        <v>124</v>
      </c>
      <c r="B87">
        <v>171</v>
      </c>
      <c r="C87">
        <v>172</v>
      </c>
      <c r="D87">
        <v>0</v>
      </c>
      <c r="E87">
        <v>1</v>
      </c>
      <c r="F87">
        <v>1</v>
      </c>
      <c r="G87">
        <v>1</v>
      </c>
      <c r="H87">
        <v>11.3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3</v>
      </c>
      <c r="P87">
        <v>155.60001</v>
      </c>
      <c r="Q87">
        <v>1.5560001000000001</v>
      </c>
      <c r="R87">
        <v>2.4211363110000002</v>
      </c>
      <c r="S87">
        <v>40.400002000000001</v>
      </c>
      <c r="T87">
        <v>16.686380610000001</v>
      </c>
      <c r="U87">
        <v>0</v>
      </c>
      <c r="V87" t="s">
        <v>36</v>
      </c>
      <c r="W87">
        <v>12.8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3</v>
      </c>
      <c r="AE87">
        <v>160.5</v>
      </c>
      <c r="AF87">
        <v>1.605</v>
      </c>
      <c r="AG87">
        <v>2.576025</v>
      </c>
      <c r="AH87">
        <v>44.5</v>
      </c>
      <c r="AI87">
        <v>17.274677069999999</v>
      </c>
      <c r="AJ87">
        <v>0.1</v>
      </c>
      <c r="AK87">
        <f>_xlfn.XLOOKUP(C87,[1]SPACE_GSS_3!$G:$G,[1]SPACE_GSS_3!$AP:$AP)</f>
        <v>0</v>
      </c>
      <c r="AL87">
        <f>_xlfn.XLOOKUP(C87,[1]SPACE_GSS_3!$G:$G,[1]SPACE_GSS_3!$BM:$BM)</f>
        <v>21.35</v>
      </c>
    </row>
    <row r="88" spans="1:38" x14ac:dyDescent="0.25">
      <c r="A88">
        <v>132</v>
      </c>
      <c r="B88">
        <v>173</v>
      </c>
      <c r="C88">
        <v>174</v>
      </c>
      <c r="D88">
        <v>0</v>
      </c>
      <c r="E88">
        <v>1</v>
      </c>
      <c r="F88">
        <v>1</v>
      </c>
      <c r="G88">
        <v>1</v>
      </c>
      <c r="H88">
        <v>12.4</v>
      </c>
      <c r="I88">
        <v>2</v>
      </c>
      <c r="J88">
        <v>0</v>
      </c>
      <c r="K88">
        <v>0</v>
      </c>
      <c r="L88">
        <v>0</v>
      </c>
      <c r="M88">
        <v>0</v>
      </c>
      <c r="N88">
        <v>1</v>
      </c>
      <c r="O88">
        <v>5</v>
      </c>
      <c r="P88">
        <v>152</v>
      </c>
      <c r="Q88">
        <v>1.52</v>
      </c>
      <c r="R88">
        <v>2.3104</v>
      </c>
      <c r="S88">
        <v>50</v>
      </c>
      <c r="T88">
        <v>21.641274240000001</v>
      </c>
      <c r="U88">
        <v>0.1</v>
      </c>
      <c r="V88" t="s">
        <v>36</v>
      </c>
      <c r="W88">
        <v>13.7</v>
      </c>
      <c r="X88">
        <v>2</v>
      </c>
      <c r="Y88">
        <v>0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156</v>
      </c>
      <c r="AF88">
        <v>1.56</v>
      </c>
      <c r="AG88">
        <v>2.4336000000000002</v>
      </c>
      <c r="AH88">
        <v>61</v>
      </c>
      <c r="AI88">
        <v>25.065746220000001</v>
      </c>
      <c r="AJ88">
        <v>0</v>
      </c>
      <c r="AK88">
        <f>_xlfn.XLOOKUP(C88,[1]SPACE_GSS_3!$G:$G,[1]SPACE_GSS_3!$AP:$AP)</f>
        <v>1</v>
      </c>
      <c r="AL88">
        <f>_xlfn.XLOOKUP(C88,[1]SPACE_GSS_3!$G:$G,[1]SPACE_GSS_3!$BM:$BM)</f>
        <v>27.6</v>
      </c>
    </row>
    <row r="89" spans="1:38" x14ac:dyDescent="0.25">
      <c r="A89">
        <v>129</v>
      </c>
      <c r="B89">
        <v>175</v>
      </c>
      <c r="C89">
        <v>176</v>
      </c>
      <c r="D89">
        <v>0</v>
      </c>
      <c r="E89">
        <v>1</v>
      </c>
      <c r="F89">
        <v>1</v>
      </c>
      <c r="G89">
        <v>1</v>
      </c>
      <c r="H89">
        <v>14.8</v>
      </c>
      <c r="I89">
        <v>2</v>
      </c>
      <c r="J89">
        <v>0</v>
      </c>
      <c r="K89">
        <v>0</v>
      </c>
      <c r="L89">
        <v>0</v>
      </c>
      <c r="M89">
        <v>0</v>
      </c>
      <c r="N89">
        <v>1</v>
      </c>
      <c r="O89">
        <v>5</v>
      </c>
      <c r="P89">
        <v>154.30000000000001</v>
      </c>
      <c r="Q89">
        <v>1.5429999999999999</v>
      </c>
      <c r="R89">
        <v>2.380849</v>
      </c>
      <c r="S89">
        <v>50.5</v>
      </c>
      <c r="T89">
        <v>21.210920980000001</v>
      </c>
      <c r="U89">
        <v>0</v>
      </c>
      <c r="V89" t="s">
        <v>36</v>
      </c>
      <c r="W89">
        <v>15.9</v>
      </c>
      <c r="X89">
        <v>2</v>
      </c>
      <c r="Y89">
        <v>0</v>
      </c>
      <c r="Z89">
        <v>0</v>
      </c>
      <c r="AA89">
        <v>0</v>
      </c>
      <c r="AB89">
        <v>0</v>
      </c>
      <c r="AC89">
        <v>1</v>
      </c>
      <c r="AD89">
        <v>5</v>
      </c>
      <c r="AE89">
        <v>157.10001</v>
      </c>
      <c r="AF89">
        <v>1.5710001</v>
      </c>
      <c r="AG89">
        <v>2.4680413140000002</v>
      </c>
      <c r="AH89">
        <v>56.099997999999999</v>
      </c>
      <c r="AI89">
        <v>22.730574919999999</v>
      </c>
      <c r="AJ89">
        <v>-1.3</v>
      </c>
      <c r="AK89">
        <f>_xlfn.XLOOKUP(C89,[1]SPACE_GSS_3!$G:$G,[1]SPACE_GSS_3!$AP:$AP)</f>
        <v>0</v>
      </c>
      <c r="AL89">
        <f>_xlfn.XLOOKUP(C89,[1]SPACE_GSS_3!$G:$G,[1]SPACE_GSS_3!$BM:$BM)</f>
        <v>14.6</v>
      </c>
    </row>
    <row r="90" spans="1:38" x14ac:dyDescent="0.25">
      <c r="A90">
        <v>131</v>
      </c>
      <c r="B90">
        <v>177</v>
      </c>
      <c r="C90">
        <v>178</v>
      </c>
      <c r="D90">
        <v>0</v>
      </c>
      <c r="E90">
        <v>1</v>
      </c>
      <c r="F90">
        <v>1</v>
      </c>
      <c r="G90">
        <v>1</v>
      </c>
      <c r="H90">
        <v>12.9</v>
      </c>
      <c r="I90">
        <v>2</v>
      </c>
      <c r="J90">
        <v>0</v>
      </c>
      <c r="K90">
        <v>0</v>
      </c>
      <c r="L90">
        <v>0</v>
      </c>
      <c r="M90">
        <v>0</v>
      </c>
      <c r="N90">
        <v>1</v>
      </c>
      <c r="O90">
        <v>5</v>
      </c>
      <c r="P90">
        <v>167.89999</v>
      </c>
      <c r="Q90">
        <v>1.6789999</v>
      </c>
      <c r="R90">
        <v>2.8190406640000001</v>
      </c>
      <c r="S90">
        <v>62.299999</v>
      </c>
      <c r="T90">
        <v>22.09971633</v>
      </c>
      <c r="U90">
        <v>0</v>
      </c>
      <c r="V90" t="s">
        <v>36</v>
      </c>
      <c r="W90">
        <v>14.4</v>
      </c>
      <c r="X90">
        <v>2</v>
      </c>
      <c r="Y90">
        <v>0</v>
      </c>
      <c r="Z90">
        <v>0</v>
      </c>
      <c r="AA90">
        <v>0</v>
      </c>
      <c r="AB90">
        <v>0</v>
      </c>
      <c r="AC90">
        <v>1</v>
      </c>
      <c r="AD90">
        <v>5</v>
      </c>
      <c r="AE90">
        <v>169.89999</v>
      </c>
      <c r="AF90">
        <v>1.6989999</v>
      </c>
      <c r="AG90">
        <v>2.88660066</v>
      </c>
      <c r="AH90">
        <v>60.299999</v>
      </c>
      <c r="AI90">
        <v>20.889622809999999</v>
      </c>
      <c r="AJ90">
        <v>0</v>
      </c>
      <c r="AK90">
        <f>_xlfn.XLOOKUP(C90,[1]SPACE_GSS_3!$G:$G,[1]SPACE_GSS_3!$AP:$AP)</f>
        <v>3</v>
      </c>
      <c r="AL90">
        <f>_xlfn.XLOOKUP(C90,[1]SPACE_GSS_3!$G:$G,[1]SPACE_GSS_3!$BM:$BM)</f>
        <v>19.149999999999999</v>
      </c>
    </row>
    <row r="91" spans="1:38" x14ac:dyDescent="0.25">
      <c r="A91">
        <v>137</v>
      </c>
      <c r="B91">
        <v>179</v>
      </c>
      <c r="C91">
        <v>180</v>
      </c>
      <c r="D91">
        <v>0</v>
      </c>
      <c r="E91">
        <v>1</v>
      </c>
      <c r="F91">
        <v>1</v>
      </c>
      <c r="G91">
        <v>1</v>
      </c>
      <c r="H91">
        <v>15.1</v>
      </c>
      <c r="I91">
        <v>2</v>
      </c>
      <c r="J91">
        <v>0</v>
      </c>
      <c r="K91">
        <v>0</v>
      </c>
      <c r="L91">
        <v>0</v>
      </c>
      <c r="M91">
        <v>0</v>
      </c>
      <c r="N91">
        <v>1</v>
      </c>
      <c r="O91">
        <v>5</v>
      </c>
      <c r="P91">
        <v>165.60001</v>
      </c>
      <c r="Q91">
        <v>1.6560001</v>
      </c>
      <c r="R91">
        <v>2.7423363310000002</v>
      </c>
      <c r="S91">
        <v>46.799999</v>
      </c>
      <c r="T91">
        <v>17.06574007</v>
      </c>
      <c r="U91">
        <v>0</v>
      </c>
      <c r="V91" t="s">
        <v>36</v>
      </c>
      <c r="W91">
        <v>15.7</v>
      </c>
      <c r="X91">
        <v>2</v>
      </c>
      <c r="Y91">
        <v>0</v>
      </c>
      <c r="Z91">
        <v>0</v>
      </c>
      <c r="AA91">
        <v>0</v>
      </c>
      <c r="AB91">
        <v>0</v>
      </c>
      <c r="AC91">
        <v>1</v>
      </c>
      <c r="AD91">
        <v>5</v>
      </c>
      <c r="AE91">
        <v>166</v>
      </c>
      <c r="AF91">
        <v>1.66</v>
      </c>
      <c r="AG91">
        <v>2.7555999999999998</v>
      </c>
      <c r="AH91">
        <v>45.700001</v>
      </c>
      <c r="AI91">
        <v>16.584410290000001</v>
      </c>
      <c r="AJ91">
        <v>0.1</v>
      </c>
      <c r="AK91">
        <f>_xlfn.XLOOKUP(C91,[1]SPACE_GSS_3!$G:$G,[1]SPACE_GSS_3!$AP:$AP)</f>
        <v>3</v>
      </c>
      <c r="AL91">
        <f>_xlfn.XLOOKUP(C91,[1]SPACE_GSS_3!$G:$G,[1]SPACE_GSS_3!$BM:$BM)</f>
        <v>7.65</v>
      </c>
    </row>
    <row r="92" spans="1:38" x14ac:dyDescent="0.25">
      <c r="A92">
        <v>146</v>
      </c>
      <c r="B92">
        <v>181</v>
      </c>
      <c r="C92">
        <v>182</v>
      </c>
      <c r="D92">
        <v>0</v>
      </c>
      <c r="E92">
        <v>1</v>
      </c>
      <c r="F92">
        <v>1</v>
      </c>
      <c r="G92">
        <v>1</v>
      </c>
      <c r="H92">
        <v>13.4</v>
      </c>
      <c r="I92">
        <v>2</v>
      </c>
      <c r="J92">
        <v>1</v>
      </c>
      <c r="K92">
        <v>0</v>
      </c>
      <c r="L92">
        <v>0</v>
      </c>
      <c r="M92">
        <v>0</v>
      </c>
      <c r="N92">
        <v>0</v>
      </c>
      <c r="O92">
        <v>5</v>
      </c>
      <c r="P92">
        <v>168.2</v>
      </c>
      <c r="Q92">
        <v>1.6819999999999999</v>
      </c>
      <c r="R92">
        <v>2.8291240000000002</v>
      </c>
      <c r="S92">
        <v>49.400002000000001</v>
      </c>
      <c r="T92">
        <v>17.461236060000001</v>
      </c>
      <c r="U92">
        <v>0</v>
      </c>
      <c r="V92" t="s">
        <v>36</v>
      </c>
      <c r="W92">
        <v>14.7</v>
      </c>
      <c r="X92" t="s">
        <v>36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36</v>
      </c>
      <c r="AE92">
        <v>168.5</v>
      </c>
      <c r="AF92">
        <v>1.6850000000000001</v>
      </c>
      <c r="AG92">
        <v>2.8392249999999999</v>
      </c>
      <c r="AH92">
        <v>50.900002000000001</v>
      </c>
      <c r="AI92">
        <v>17.927428079999999</v>
      </c>
      <c r="AJ92">
        <v>0</v>
      </c>
      <c r="AK92">
        <f>_xlfn.XLOOKUP(C92,[1]SPACE_GSS_3!$G:$G,[1]SPACE_GSS_3!$AP:$AP)</f>
        <v>0</v>
      </c>
      <c r="AL92">
        <f>_xlfn.XLOOKUP(C92,[1]SPACE_GSS_3!$G:$G,[1]SPACE_GSS_3!$BM:$BM)</f>
        <v>10.25</v>
      </c>
    </row>
    <row r="93" spans="1:38" x14ac:dyDescent="0.25">
      <c r="A93">
        <v>125</v>
      </c>
      <c r="B93">
        <v>183</v>
      </c>
      <c r="C93">
        <v>184</v>
      </c>
      <c r="D93">
        <v>0</v>
      </c>
      <c r="E93">
        <v>1</v>
      </c>
      <c r="F93">
        <v>0</v>
      </c>
      <c r="G93">
        <v>0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>
        <f>_xlfn.XLOOKUP(C93,[1]SPACE_GSS_3!$G:$G,[1]SPACE_GSS_3!$AP:$AP)</f>
        <v>0</v>
      </c>
      <c r="AL93">
        <f>_xlfn.XLOOKUP(C93,[1]SPACE_GSS_3!$G:$G,[1]SPACE_GSS_3!$BM:$BM)</f>
        <v>27.55</v>
      </c>
    </row>
    <row r="94" spans="1:38" x14ac:dyDescent="0.25">
      <c r="A94">
        <v>144</v>
      </c>
      <c r="B94">
        <v>185</v>
      </c>
      <c r="C94">
        <v>186</v>
      </c>
      <c r="D94">
        <v>0</v>
      </c>
      <c r="E94">
        <v>1</v>
      </c>
      <c r="F94">
        <v>0</v>
      </c>
      <c r="G94">
        <v>0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  <c r="AI94" t="s">
        <v>36</v>
      </c>
      <c r="AJ94" t="s">
        <v>36</v>
      </c>
      <c r="AK94">
        <f>_xlfn.XLOOKUP(C94,[1]SPACE_GSS_3!$G:$G,[1]SPACE_GSS_3!$AP:$AP)</f>
        <v>2</v>
      </c>
      <c r="AL94">
        <f>_xlfn.XLOOKUP(C94,[1]SPACE_GSS_3!$G:$G,[1]SPACE_GSS_3!$BM:$BM)</f>
        <v>9.6</v>
      </c>
    </row>
    <row r="95" spans="1:38" x14ac:dyDescent="0.25">
      <c r="A95">
        <v>140</v>
      </c>
      <c r="B95">
        <v>187</v>
      </c>
      <c r="C95">
        <v>188</v>
      </c>
      <c r="D95">
        <v>0</v>
      </c>
      <c r="E95">
        <v>1</v>
      </c>
      <c r="F95">
        <v>1</v>
      </c>
      <c r="G95">
        <v>0</v>
      </c>
      <c r="H95">
        <v>14</v>
      </c>
      <c r="I95">
        <v>2</v>
      </c>
      <c r="J95">
        <v>0</v>
      </c>
      <c r="K95">
        <v>0</v>
      </c>
      <c r="L95">
        <v>0</v>
      </c>
      <c r="M95">
        <v>0</v>
      </c>
      <c r="N95">
        <v>1</v>
      </c>
      <c r="O95">
        <v>5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  <c r="AI95" t="s">
        <v>36</v>
      </c>
      <c r="AJ95" t="s">
        <v>36</v>
      </c>
      <c r="AK95">
        <f>_xlfn.XLOOKUP(C95,[1]SPACE_GSS_3!$G:$G,[1]SPACE_GSS_3!$AP:$AP)</f>
        <v>2</v>
      </c>
      <c r="AL95">
        <f>_xlfn.XLOOKUP(C95,[1]SPACE_GSS_3!$G:$G,[1]SPACE_GSS_3!$BM:$BM)</f>
        <v>18.7</v>
      </c>
    </row>
    <row r="96" spans="1:38" x14ac:dyDescent="0.25">
      <c r="A96">
        <v>153</v>
      </c>
      <c r="B96">
        <v>189</v>
      </c>
      <c r="C96">
        <v>190</v>
      </c>
      <c r="D96">
        <v>0</v>
      </c>
      <c r="E96">
        <v>1</v>
      </c>
      <c r="F96">
        <v>1</v>
      </c>
      <c r="G96">
        <v>1</v>
      </c>
      <c r="H96">
        <v>16.3</v>
      </c>
      <c r="I96">
        <v>2</v>
      </c>
      <c r="J96">
        <v>0</v>
      </c>
      <c r="K96">
        <v>0</v>
      </c>
      <c r="L96">
        <v>0</v>
      </c>
      <c r="M96">
        <v>0</v>
      </c>
      <c r="N96">
        <v>1</v>
      </c>
      <c r="O96">
        <v>5</v>
      </c>
      <c r="P96">
        <v>150.89999</v>
      </c>
      <c r="Q96">
        <v>1.5089999000000001</v>
      </c>
      <c r="R96">
        <v>2.2770806979999998</v>
      </c>
      <c r="S96">
        <v>41</v>
      </c>
      <c r="T96">
        <v>18.005510319999999</v>
      </c>
      <c r="U96">
        <v>0.1</v>
      </c>
      <c r="V96" t="s">
        <v>36</v>
      </c>
      <c r="W96">
        <v>17.3</v>
      </c>
      <c r="X96">
        <v>2</v>
      </c>
      <c r="Y96">
        <v>0</v>
      </c>
      <c r="Z96">
        <v>0</v>
      </c>
      <c r="AA96">
        <v>0</v>
      </c>
      <c r="AB96">
        <v>0</v>
      </c>
      <c r="AC96">
        <v>1</v>
      </c>
      <c r="AD96">
        <v>5</v>
      </c>
      <c r="AE96">
        <v>151.89999</v>
      </c>
      <c r="AF96">
        <v>1.5189999000000001</v>
      </c>
      <c r="AG96">
        <v>2.3073606959999999</v>
      </c>
      <c r="AH96">
        <v>43.099997999999999</v>
      </c>
      <c r="AI96">
        <v>18.679349989999999</v>
      </c>
      <c r="AJ96">
        <v>0</v>
      </c>
      <c r="AK96">
        <f>_xlfn.XLOOKUP(C96,[1]SPACE_GSS_3!$G:$G,[1]SPACE_GSS_3!$AP:$AP)</f>
        <v>1</v>
      </c>
      <c r="AL96">
        <f>_xlfn.XLOOKUP(C96,[1]SPACE_GSS_3!$G:$G,[1]SPACE_GSS_3!$BM:$BM)</f>
        <v>21.15</v>
      </c>
    </row>
    <row r="97" spans="1:38" x14ac:dyDescent="0.25">
      <c r="A97">
        <v>154</v>
      </c>
      <c r="B97">
        <v>191</v>
      </c>
      <c r="C97">
        <v>192</v>
      </c>
      <c r="D97">
        <v>0</v>
      </c>
      <c r="E97">
        <v>1</v>
      </c>
      <c r="F97">
        <v>1</v>
      </c>
      <c r="G97">
        <v>1</v>
      </c>
      <c r="H97">
        <v>14.6</v>
      </c>
      <c r="I97">
        <v>2</v>
      </c>
      <c r="J97">
        <v>0</v>
      </c>
      <c r="K97">
        <v>0</v>
      </c>
      <c r="L97">
        <v>0</v>
      </c>
      <c r="M97">
        <v>0</v>
      </c>
      <c r="N97">
        <v>1</v>
      </c>
      <c r="O97">
        <v>5</v>
      </c>
      <c r="P97">
        <v>167.2</v>
      </c>
      <c r="Q97">
        <v>1.6719999999999999</v>
      </c>
      <c r="R97">
        <v>2.7955839999999998</v>
      </c>
      <c r="S97">
        <v>51</v>
      </c>
      <c r="T97">
        <v>18.243057619999998</v>
      </c>
      <c r="U97">
        <v>0</v>
      </c>
      <c r="V97" t="s">
        <v>36</v>
      </c>
      <c r="W97">
        <v>15.6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>
        <v>167</v>
      </c>
      <c r="AF97">
        <v>1.67</v>
      </c>
      <c r="AG97">
        <v>2.7888999999999999</v>
      </c>
      <c r="AH97">
        <v>51</v>
      </c>
      <c r="AI97">
        <v>18.286779729999999</v>
      </c>
      <c r="AJ97">
        <v>-0.1</v>
      </c>
      <c r="AK97">
        <f>_xlfn.XLOOKUP(C97,[1]SPACE_GSS_3!$G:$G,[1]SPACE_GSS_3!$AP:$AP)</f>
        <v>2</v>
      </c>
      <c r="AL97">
        <f>_xlfn.XLOOKUP(C97,[1]SPACE_GSS_3!$G:$G,[1]SPACE_GSS_3!$BM:$BM)</f>
        <v>37.700000000000003</v>
      </c>
    </row>
    <row r="98" spans="1:38" x14ac:dyDescent="0.25">
      <c r="A98">
        <v>138</v>
      </c>
      <c r="B98">
        <v>193</v>
      </c>
      <c r="C98">
        <v>194</v>
      </c>
      <c r="D98">
        <v>0</v>
      </c>
      <c r="E98">
        <v>1</v>
      </c>
      <c r="F98">
        <v>1</v>
      </c>
      <c r="G98">
        <v>0</v>
      </c>
      <c r="H98">
        <v>15.7</v>
      </c>
      <c r="I98">
        <v>2</v>
      </c>
      <c r="J98">
        <v>0</v>
      </c>
      <c r="K98">
        <v>0</v>
      </c>
      <c r="L98">
        <v>0</v>
      </c>
      <c r="M98">
        <v>0</v>
      </c>
      <c r="N98">
        <v>1</v>
      </c>
      <c r="O98">
        <v>5</v>
      </c>
      <c r="P98">
        <v>158.60001</v>
      </c>
      <c r="Q98">
        <v>1.5860000999999999</v>
      </c>
      <c r="R98">
        <v>2.515396317</v>
      </c>
      <c r="S98">
        <v>50.900002000000001</v>
      </c>
      <c r="T98">
        <v>20.235380660000001</v>
      </c>
      <c r="U98">
        <v>0.1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  <c r="AF98" t="s">
        <v>36</v>
      </c>
      <c r="AG98" t="s">
        <v>36</v>
      </c>
      <c r="AH98" t="s">
        <v>36</v>
      </c>
      <c r="AI98" t="s">
        <v>36</v>
      </c>
      <c r="AJ98" t="s">
        <v>36</v>
      </c>
      <c r="AK98">
        <f>_xlfn.XLOOKUP(C98,[1]SPACE_GSS_3!$G:$G,[1]SPACE_GSS_3!$AP:$AP)</f>
        <v>0</v>
      </c>
      <c r="AL98">
        <f>_xlfn.XLOOKUP(C98,[1]SPACE_GSS_3!$G:$G,[1]SPACE_GSS_3!$BM:$BM)</f>
        <v>10.1</v>
      </c>
    </row>
    <row r="99" spans="1:38" x14ac:dyDescent="0.25">
      <c r="A99">
        <v>158</v>
      </c>
      <c r="B99">
        <v>195</v>
      </c>
      <c r="C99">
        <v>196</v>
      </c>
      <c r="D99">
        <v>0</v>
      </c>
      <c r="E99">
        <v>1</v>
      </c>
      <c r="F99">
        <v>1</v>
      </c>
      <c r="G99">
        <v>1</v>
      </c>
      <c r="H99">
        <v>12.4</v>
      </c>
      <c r="I99">
        <v>2</v>
      </c>
      <c r="J99">
        <v>0</v>
      </c>
      <c r="K99">
        <v>0</v>
      </c>
      <c r="L99">
        <v>1</v>
      </c>
      <c r="M99">
        <v>0</v>
      </c>
      <c r="N99">
        <v>0</v>
      </c>
      <c r="O99">
        <v>4</v>
      </c>
      <c r="P99">
        <v>164.60001</v>
      </c>
      <c r="Q99">
        <v>1.6460001</v>
      </c>
      <c r="R99">
        <v>2.709316329</v>
      </c>
      <c r="S99">
        <v>49.599997999999999</v>
      </c>
      <c r="T99">
        <v>18.307200770000001</v>
      </c>
      <c r="U99">
        <v>0</v>
      </c>
      <c r="V99" t="s">
        <v>36</v>
      </c>
      <c r="W99">
        <v>13.5</v>
      </c>
      <c r="X99">
        <v>2</v>
      </c>
      <c r="Y99">
        <v>0</v>
      </c>
      <c r="Z99">
        <v>0</v>
      </c>
      <c r="AA99">
        <v>1</v>
      </c>
      <c r="AB99">
        <v>0</v>
      </c>
      <c r="AC99">
        <v>0</v>
      </c>
      <c r="AD99">
        <v>4</v>
      </c>
      <c r="AE99">
        <v>166.7</v>
      </c>
      <c r="AF99">
        <v>1.667</v>
      </c>
      <c r="AG99">
        <v>2.7788889999999999</v>
      </c>
      <c r="AH99">
        <v>53</v>
      </c>
      <c r="AI99">
        <v>19.072370289999999</v>
      </c>
      <c r="AJ99">
        <v>0</v>
      </c>
      <c r="AK99">
        <f>_xlfn.XLOOKUP(C99,[1]SPACE_GSS_3!$G:$G,[1]SPACE_GSS_3!$AP:$AP)</f>
        <v>1</v>
      </c>
      <c r="AL99">
        <f>_xlfn.XLOOKUP(C99,[1]SPACE_GSS_3!$G:$G,[1]SPACE_GSS_3!$BM:$BM)</f>
        <v>29.05</v>
      </c>
    </row>
    <row r="100" spans="1:38" x14ac:dyDescent="0.25">
      <c r="A100">
        <v>145</v>
      </c>
      <c r="B100">
        <v>197</v>
      </c>
      <c r="C100">
        <v>198</v>
      </c>
      <c r="D100">
        <v>0</v>
      </c>
      <c r="E100">
        <v>1</v>
      </c>
      <c r="F100">
        <v>1</v>
      </c>
      <c r="G100">
        <v>1</v>
      </c>
      <c r="H100">
        <v>12.3</v>
      </c>
      <c r="I100">
        <v>2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5</v>
      </c>
      <c r="P100">
        <v>159.60001</v>
      </c>
      <c r="Q100">
        <v>1.5960000999999999</v>
      </c>
      <c r="R100">
        <v>2.5472163189999999</v>
      </c>
      <c r="S100">
        <v>89.900002000000001</v>
      </c>
      <c r="T100">
        <v>35.293430450000002</v>
      </c>
      <c r="U100">
        <v>0</v>
      </c>
      <c r="V100" t="s">
        <v>36</v>
      </c>
      <c r="W100">
        <v>13.6</v>
      </c>
      <c r="X100">
        <v>2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5</v>
      </c>
      <c r="AE100">
        <v>162.5</v>
      </c>
      <c r="AF100">
        <v>1.625</v>
      </c>
      <c r="AG100">
        <v>2.640625</v>
      </c>
      <c r="AH100">
        <v>73.900002000000001</v>
      </c>
      <c r="AI100">
        <v>27.985799570000001</v>
      </c>
      <c r="AJ100">
        <v>0</v>
      </c>
      <c r="AK100">
        <f>_xlfn.XLOOKUP(C100,[1]SPACE_GSS_3!$G:$G,[1]SPACE_GSS_3!$AP:$AP)</f>
        <v>4</v>
      </c>
      <c r="AL100">
        <f>_xlfn.XLOOKUP(C100,[1]SPACE_GSS_3!$G:$G,[1]SPACE_GSS_3!$BM:$BM)</f>
        <v>17.8</v>
      </c>
    </row>
    <row r="101" spans="1:38" x14ac:dyDescent="0.25">
      <c r="A101">
        <v>147</v>
      </c>
      <c r="B101">
        <v>199</v>
      </c>
      <c r="C101">
        <v>200</v>
      </c>
      <c r="D101">
        <v>0</v>
      </c>
      <c r="E101">
        <v>1</v>
      </c>
      <c r="F101">
        <v>1</v>
      </c>
      <c r="G101">
        <v>1</v>
      </c>
      <c r="H101">
        <v>14.5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5</v>
      </c>
      <c r="P101">
        <v>167.5</v>
      </c>
      <c r="Q101">
        <v>1.675</v>
      </c>
      <c r="R101">
        <v>2.805625</v>
      </c>
      <c r="S101">
        <v>45.200001</v>
      </c>
      <c r="T101">
        <v>16.110492669999999</v>
      </c>
      <c r="U101">
        <v>-0.1</v>
      </c>
      <c r="V101" t="s">
        <v>36</v>
      </c>
      <c r="W101">
        <v>15.6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5</v>
      </c>
      <c r="AE101">
        <v>168.5</v>
      </c>
      <c r="AF101">
        <v>1.6850000000000001</v>
      </c>
      <c r="AG101">
        <v>2.8392249999999999</v>
      </c>
      <c r="AH101">
        <v>50.200001</v>
      </c>
      <c r="AI101">
        <v>17.680881580000001</v>
      </c>
      <c r="AJ101">
        <v>0</v>
      </c>
      <c r="AK101">
        <f>_xlfn.XLOOKUP(C101,[1]SPACE_GSS_3!$G:$G,[1]SPACE_GSS_3!$AP:$AP)</f>
        <v>2</v>
      </c>
      <c r="AL101">
        <f>_xlfn.XLOOKUP(C101,[1]SPACE_GSS_3!$G:$G,[1]SPACE_GSS_3!$BM:$BM)</f>
        <v>14.3</v>
      </c>
    </row>
    <row r="102" spans="1:38" x14ac:dyDescent="0.25">
      <c r="A102">
        <v>136</v>
      </c>
      <c r="B102">
        <v>201</v>
      </c>
      <c r="C102">
        <v>202</v>
      </c>
      <c r="D102">
        <v>0</v>
      </c>
      <c r="E102">
        <v>1</v>
      </c>
      <c r="F102">
        <v>0</v>
      </c>
      <c r="G102">
        <v>0</v>
      </c>
      <c r="H102" t="s">
        <v>36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  <c r="AI102" t="s">
        <v>36</v>
      </c>
      <c r="AJ102" t="s">
        <v>36</v>
      </c>
      <c r="AK102">
        <f>_xlfn.XLOOKUP(C102,[1]SPACE_GSS_3!$G:$G,[1]SPACE_GSS_3!$AP:$AP)</f>
        <v>0</v>
      </c>
      <c r="AL102">
        <f>_xlfn.XLOOKUP(C102,[1]SPACE_GSS_3!$G:$G,[1]SPACE_GSS_3!$BM:$BM)</f>
        <v>6.25</v>
      </c>
    </row>
    <row r="103" spans="1:38" x14ac:dyDescent="0.25">
      <c r="A103">
        <v>151</v>
      </c>
      <c r="B103">
        <v>203</v>
      </c>
      <c r="C103">
        <v>204</v>
      </c>
      <c r="D103">
        <v>0</v>
      </c>
      <c r="E103">
        <v>1</v>
      </c>
      <c r="F103">
        <v>0</v>
      </c>
      <c r="G103">
        <v>0</v>
      </c>
      <c r="H103" t="s">
        <v>36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  <c r="AI103" t="s">
        <v>36</v>
      </c>
      <c r="AJ103" t="s">
        <v>36</v>
      </c>
      <c r="AK103">
        <f>_xlfn.XLOOKUP(C103,[1]SPACE_GSS_3!$G:$G,[1]SPACE_GSS_3!$AP:$AP)</f>
        <v>0</v>
      </c>
      <c r="AL103">
        <f>_xlfn.XLOOKUP(C103,[1]SPACE_GSS_3!$G:$G,[1]SPACE_GSS_3!$BM:$BM)</f>
        <v>13.6</v>
      </c>
    </row>
    <row r="104" spans="1:38" x14ac:dyDescent="0.25">
      <c r="A104">
        <v>152</v>
      </c>
      <c r="B104">
        <v>205</v>
      </c>
      <c r="C104">
        <v>206</v>
      </c>
      <c r="D104">
        <v>0</v>
      </c>
      <c r="E104">
        <v>1</v>
      </c>
      <c r="F104">
        <v>1</v>
      </c>
      <c r="G104">
        <v>1</v>
      </c>
      <c r="H104">
        <v>12.8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5</v>
      </c>
      <c r="P104">
        <v>168.60001</v>
      </c>
      <c r="Q104">
        <v>1.6860001</v>
      </c>
      <c r="R104">
        <v>2.8425963369999998</v>
      </c>
      <c r="S104">
        <v>53.400002000000001</v>
      </c>
      <c r="T104">
        <v>18.785643709999999</v>
      </c>
      <c r="U104">
        <v>0</v>
      </c>
      <c r="V104" t="s">
        <v>36</v>
      </c>
      <c r="W104">
        <v>13.9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4</v>
      </c>
      <c r="AE104">
        <v>170.60001</v>
      </c>
      <c r="AF104">
        <v>1.7060001</v>
      </c>
      <c r="AG104">
        <v>2.910436341</v>
      </c>
      <c r="AH104">
        <v>58.299999</v>
      </c>
      <c r="AI104">
        <v>20.03136031</v>
      </c>
      <c r="AJ104">
        <v>0</v>
      </c>
      <c r="AK104">
        <f>_xlfn.XLOOKUP(C104,[1]SPACE_GSS_3!$G:$G,[1]SPACE_GSS_3!$AP:$AP)</f>
        <v>0</v>
      </c>
      <c r="AL104">
        <f>_xlfn.XLOOKUP(C104,[1]SPACE_GSS_3!$G:$G,[1]SPACE_GSS_3!$BM:$BM)</f>
        <v>7.1</v>
      </c>
    </row>
    <row r="105" spans="1:38" x14ac:dyDescent="0.25">
      <c r="A105">
        <v>155</v>
      </c>
      <c r="B105">
        <v>207</v>
      </c>
      <c r="C105">
        <v>208</v>
      </c>
      <c r="D105">
        <v>0</v>
      </c>
      <c r="E105">
        <v>1</v>
      </c>
      <c r="F105">
        <v>0</v>
      </c>
      <c r="G105">
        <v>0</v>
      </c>
      <c r="H105" t="s">
        <v>36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  <c r="AI105" t="s">
        <v>36</v>
      </c>
      <c r="AJ105" t="s">
        <v>36</v>
      </c>
      <c r="AK105">
        <f>_xlfn.XLOOKUP(C105,[1]SPACE_GSS_3!$G:$G,[1]SPACE_GSS_3!$AP:$AP)</f>
        <v>0</v>
      </c>
      <c r="AL105">
        <f>_xlfn.XLOOKUP(C105,[1]SPACE_GSS_3!$G:$G,[1]SPACE_GSS_3!$BM:$BM)</f>
        <v>21.4</v>
      </c>
    </row>
    <row r="106" spans="1:38" x14ac:dyDescent="0.25">
      <c r="A106">
        <v>156</v>
      </c>
      <c r="B106">
        <v>209</v>
      </c>
      <c r="C106">
        <v>210</v>
      </c>
      <c r="D106">
        <v>0</v>
      </c>
      <c r="E106">
        <v>1</v>
      </c>
      <c r="F106">
        <v>0</v>
      </c>
      <c r="G106">
        <v>0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  <c r="AI106" t="s">
        <v>36</v>
      </c>
      <c r="AJ106" t="s">
        <v>36</v>
      </c>
      <c r="AK106">
        <f>_xlfn.XLOOKUP(C106,[1]SPACE_GSS_3!$G:$G,[1]SPACE_GSS_3!$AP:$AP)</f>
        <v>0</v>
      </c>
      <c r="AL106">
        <f>_xlfn.XLOOKUP(C106,[1]SPACE_GSS_3!$G:$G,[1]SPACE_GSS_3!$BM:$BM)</f>
        <v>17.55</v>
      </c>
    </row>
    <row r="107" spans="1:38" x14ac:dyDescent="0.25">
      <c r="A107">
        <v>157</v>
      </c>
      <c r="B107">
        <v>211</v>
      </c>
      <c r="C107">
        <v>212</v>
      </c>
      <c r="D107">
        <v>0</v>
      </c>
      <c r="E107">
        <v>1</v>
      </c>
      <c r="F107">
        <v>1</v>
      </c>
      <c r="G107">
        <v>1</v>
      </c>
      <c r="H107">
        <v>13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5</v>
      </c>
      <c r="P107">
        <v>176.10001</v>
      </c>
      <c r="Q107">
        <v>1.7610001</v>
      </c>
      <c r="R107">
        <v>3.1011213519999998</v>
      </c>
      <c r="S107">
        <v>79.199996999999996</v>
      </c>
      <c r="T107">
        <v>25.539147939999999</v>
      </c>
      <c r="U107">
        <v>0.1</v>
      </c>
      <c r="V107" t="s">
        <v>36</v>
      </c>
      <c r="W107">
        <v>14.1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5</v>
      </c>
      <c r="AE107">
        <v>177.10001</v>
      </c>
      <c r="AF107">
        <v>1.7710001</v>
      </c>
      <c r="AG107">
        <v>3.136441354</v>
      </c>
      <c r="AH107">
        <v>86.199996999999996</v>
      </c>
      <c r="AI107">
        <v>27.483375989999999</v>
      </c>
      <c r="AJ107">
        <v>0</v>
      </c>
      <c r="AK107">
        <f>_xlfn.XLOOKUP(C107,[1]SPACE_GSS_3!$G:$G,[1]SPACE_GSS_3!$AP:$AP)</f>
        <v>0</v>
      </c>
      <c r="AL107">
        <f>_xlfn.XLOOKUP(C107,[1]SPACE_GSS_3!$G:$G,[1]SPACE_GSS_3!$BM:$BM)</f>
        <v>16.649999999999999</v>
      </c>
    </row>
    <row r="108" spans="1:38" x14ac:dyDescent="0.25">
      <c r="A108">
        <v>162</v>
      </c>
      <c r="B108">
        <v>213</v>
      </c>
      <c r="C108">
        <v>214</v>
      </c>
      <c r="D108">
        <v>0</v>
      </c>
      <c r="E108">
        <v>1</v>
      </c>
      <c r="F108">
        <v>1</v>
      </c>
      <c r="G108">
        <v>1</v>
      </c>
      <c r="H108">
        <v>15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5</v>
      </c>
      <c r="P108">
        <v>171.3</v>
      </c>
      <c r="Q108">
        <v>1.7130000000000001</v>
      </c>
      <c r="R108">
        <v>2.9343689999999998</v>
      </c>
      <c r="S108">
        <v>52.799999</v>
      </c>
      <c r="T108">
        <v>17.99364667</v>
      </c>
      <c r="U108">
        <v>0</v>
      </c>
      <c r="V108" t="s">
        <v>36</v>
      </c>
      <c r="W108">
        <v>15.4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5</v>
      </c>
      <c r="AE108">
        <v>172.2</v>
      </c>
      <c r="AF108">
        <v>1.722</v>
      </c>
      <c r="AG108">
        <v>2.965284</v>
      </c>
      <c r="AH108">
        <v>50.099997999999999</v>
      </c>
      <c r="AI108">
        <v>16.895514219999999</v>
      </c>
      <c r="AJ108">
        <v>0</v>
      </c>
      <c r="AK108">
        <f>_xlfn.XLOOKUP(C108,[1]SPACE_GSS_3!$G:$G,[1]SPACE_GSS_3!$AP:$AP)</f>
        <v>5</v>
      </c>
      <c r="AL108">
        <f>_xlfn.XLOOKUP(C108,[1]SPACE_GSS_3!$G:$G,[1]SPACE_GSS_3!$BM:$BM)</f>
        <v>11.15</v>
      </c>
    </row>
    <row r="109" spans="1:38" x14ac:dyDescent="0.25">
      <c r="A109">
        <v>148</v>
      </c>
      <c r="B109">
        <v>215</v>
      </c>
      <c r="C109">
        <v>216</v>
      </c>
      <c r="D109">
        <v>0</v>
      </c>
      <c r="E109">
        <v>1</v>
      </c>
      <c r="F109">
        <v>0</v>
      </c>
      <c r="G109">
        <v>0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  <c r="AI109" t="s">
        <v>36</v>
      </c>
      <c r="AJ109" t="s">
        <v>36</v>
      </c>
      <c r="AK109">
        <f>_xlfn.XLOOKUP(C109,[1]SPACE_GSS_3!$G:$G,[1]SPACE_GSS_3!$AP:$AP)</f>
        <v>0</v>
      </c>
      <c r="AL109">
        <f>_xlfn.XLOOKUP(C109,[1]SPACE_GSS_3!$G:$G,[1]SPACE_GSS_3!$BM:$BM)</f>
        <v>8.15</v>
      </c>
    </row>
    <row r="110" spans="1:38" x14ac:dyDescent="0.25">
      <c r="A110">
        <v>141</v>
      </c>
      <c r="B110">
        <v>217</v>
      </c>
      <c r="C110">
        <v>218</v>
      </c>
      <c r="D110">
        <v>0</v>
      </c>
      <c r="E110">
        <v>1</v>
      </c>
      <c r="F110">
        <v>0</v>
      </c>
      <c r="G110">
        <v>0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 t="s">
        <v>36</v>
      </c>
      <c r="AF110" t="s">
        <v>36</v>
      </c>
      <c r="AG110" t="s">
        <v>36</v>
      </c>
      <c r="AH110" t="s">
        <v>36</v>
      </c>
      <c r="AI110" t="s">
        <v>36</v>
      </c>
      <c r="AJ110" t="s">
        <v>36</v>
      </c>
      <c r="AK110">
        <f>_xlfn.XLOOKUP(C110,[1]SPACE_GSS_3!$G:$G,[1]SPACE_GSS_3!$AP:$AP)</f>
        <v>0</v>
      </c>
      <c r="AL110">
        <f>_xlfn.XLOOKUP(C110,[1]SPACE_GSS_3!$G:$G,[1]SPACE_GSS_3!$BM:$BM)</f>
        <v>14.9</v>
      </c>
    </row>
    <row r="111" spans="1:38" x14ac:dyDescent="0.25">
      <c r="A111">
        <v>167</v>
      </c>
      <c r="B111">
        <v>219</v>
      </c>
      <c r="C111">
        <v>220</v>
      </c>
      <c r="D111">
        <v>0</v>
      </c>
      <c r="E111">
        <v>1</v>
      </c>
      <c r="F111">
        <v>1</v>
      </c>
      <c r="G111">
        <v>1</v>
      </c>
      <c r="H111">
        <v>12.5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5</v>
      </c>
      <c r="P111">
        <v>149.60001</v>
      </c>
      <c r="Q111">
        <v>1.4960001000000001</v>
      </c>
      <c r="R111">
        <v>2.2380162989999999</v>
      </c>
      <c r="S111">
        <v>42.099997999999999</v>
      </c>
      <c r="T111">
        <v>18.811300889999998</v>
      </c>
      <c r="U111">
        <v>0</v>
      </c>
      <c r="V111" t="s">
        <v>36</v>
      </c>
      <c r="W111">
        <v>13.8</v>
      </c>
      <c r="X111" t="s">
        <v>36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36</v>
      </c>
      <c r="AE111">
        <v>152.10001</v>
      </c>
      <c r="AF111">
        <v>1.5210001</v>
      </c>
      <c r="AG111">
        <v>2.3134413039999999</v>
      </c>
      <c r="AH111">
        <v>42.799999</v>
      </c>
      <c r="AI111">
        <v>18.500577010000001</v>
      </c>
      <c r="AJ111">
        <v>0</v>
      </c>
      <c r="AK111">
        <f>_xlfn.XLOOKUP(C111,[1]SPACE_GSS_3!$G:$G,[1]SPACE_GSS_3!$AP:$AP)</f>
        <v>0</v>
      </c>
      <c r="AL111">
        <f>_xlfn.XLOOKUP(C111,[1]SPACE_GSS_3!$G:$G,[1]SPACE_GSS_3!$BM:$BM)</f>
        <v>6.75</v>
      </c>
    </row>
    <row r="112" spans="1:38" x14ac:dyDescent="0.25">
      <c r="A112">
        <v>168</v>
      </c>
      <c r="B112">
        <v>221</v>
      </c>
      <c r="C112">
        <v>222</v>
      </c>
      <c r="D112">
        <v>0</v>
      </c>
      <c r="E112">
        <v>1</v>
      </c>
      <c r="F112">
        <v>1</v>
      </c>
      <c r="G112">
        <v>0</v>
      </c>
      <c r="H112">
        <v>13.6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5</v>
      </c>
      <c r="P112">
        <v>175.60001</v>
      </c>
      <c r="Q112">
        <v>1.7560001000000001</v>
      </c>
      <c r="R112">
        <v>3.0835363509999998</v>
      </c>
      <c r="S112">
        <v>55.400002000000001</v>
      </c>
      <c r="T112">
        <v>17.966385240000001</v>
      </c>
      <c r="U112">
        <v>0.1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  <c r="AI112" t="s">
        <v>36</v>
      </c>
      <c r="AJ112" t="s">
        <v>36</v>
      </c>
      <c r="AK112">
        <f>_xlfn.XLOOKUP(C112,[1]SPACE_GSS_3!$G:$G,[1]SPACE_GSS_3!$AP:$AP)</f>
        <v>4</v>
      </c>
      <c r="AL112">
        <f>_xlfn.XLOOKUP(C112,[1]SPACE_GSS_3!$G:$G,[1]SPACE_GSS_3!$BM:$BM)</f>
        <v>24.85</v>
      </c>
    </row>
    <row r="113" spans="1:38" x14ac:dyDescent="0.25">
      <c r="A113">
        <v>165</v>
      </c>
      <c r="B113">
        <v>223</v>
      </c>
      <c r="C113">
        <v>224</v>
      </c>
      <c r="D113">
        <v>0</v>
      </c>
      <c r="E113">
        <v>1</v>
      </c>
      <c r="F113">
        <v>0</v>
      </c>
      <c r="G113">
        <v>0</v>
      </c>
      <c r="H113" t="s">
        <v>36</v>
      </c>
      <c r="I113" t="s">
        <v>36</v>
      </c>
      <c r="J113" t="s">
        <v>36</v>
      </c>
      <c r="K113" t="s">
        <v>36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36</v>
      </c>
      <c r="AG113" t="s">
        <v>36</v>
      </c>
      <c r="AH113" t="s">
        <v>36</v>
      </c>
      <c r="AI113" t="s">
        <v>36</v>
      </c>
      <c r="AJ113" t="s">
        <v>36</v>
      </c>
      <c r="AK113">
        <f>_xlfn.XLOOKUP(C113,[1]SPACE_GSS_3!$G:$G,[1]SPACE_GSS_3!$AP:$AP)</f>
        <v>1</v>
      </c>
      <c r="AL113">
        <f>_xlfn.XLOOKUP(C113,[1]SPACE_GSS_3!$G:$G,[1]SPACE_GSS_3!$BM:$BM)</f>
        <v>14.05</v>
      </c>
    </row>
    <row r="114" spans="1:38" x14ac:dyDescent="0.25">
      <c r="A114">
        <v>170</v>
      </c>
      <c r="B114">
        <v>225</v>
      </c>
      <c r="C114">
        <v>226</v>
      </c>
      <c r="D114">
        <v>0</v>
      </c>
      <c r="E114">
        <v>1</v>
      </c>
      <c r="F114">
        <v>1</v>
      </c>
      <c r="G114">
        <v>1</v>
      </c>
      <c r="H114">
        <v>12.5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5</v>
      </c>
      <c r="P114">
        <v>156.5</v>
      </c>
      <c r="Q114">
        <v>1.5649999999999999</v>
      </c>
      <c r="R114">
        <v>2.4492250000000002</v>
      </c>
      <c r="S114">
        <v>41.299999</v>
      </c>
      <c r="T114">
        <v>16.8624765</v>
      </c>
      <c r="U114">
        <v>0</v>
      </c>
      <c r="V114" t="s">
        <v>36</v>
      </c>
      <c r="W114">
        <v>14.5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5</v>
      </c>
      <c r="AE114">
        <v>160.5</v>
      </c>
      <c r="AF114">
        <v>1.605</v>
      </c>
      <c r="AG114">
        <v>2.576025</v>
      </c>
      <c r="AH114">
        <v>43.099997999999999</v>
      </c>
      <c r="AI114">
        <v>16.731203310000001</v>
      </c>
      <c r="AJ114">
        <v>0</v>
      </c>
      <c r="AK114">
        <f>_xlfn.XLOOKUP(C114,[1]SPACE_GSS_3!$G:$G,[1]SPACE_GSS_3!$AP:$AP)</f>
        <v>2</v>
      </c>
      <c r="AL114">
        <f>_xlfn.XLOOKUP(C114,[1]SPACE_GSS_3!$G:$G,[1]SPACE_GSS_3!$BM:$BM)</f>
        <v>10.45</v>
      </c>
    </row>
    <row r="115" spans="1:38" x14ac:dyDescent="0.25">
      <c r="A115">
        <v>169</v>
      </c>
      <c r="B115">
        <v>227</v>
      </c>
      <c r="C115">
        <v>228</v>
      </c>
      <c r="D115">
        <v>0</v>
      </c>
      <c r="E115">
        <v>1</v>
      </c>
      <c r="F115">
        <v>1</v>
      </c>
      <c r="G115">
        <v>1</v>
      </c>
      <c r="H115">
        <v>13.3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4</v>
      </c>
      <c r="P115">
        <v>174.5</v>
      </c>
      <c r="Q115">
        <v>1.7450000000000001</v>
      </c>
      <c r="R115">
        <v>3.0450249999999999</v>
      </c>
      <c r="S115">
        <v>60.099997999999999</v>
      </c>
      <c r="T115">
        <v>19.737111519999999</v>
      </c>
      <c r="U115">
        <v>0</v>
      </c>
      <c r="V115" t="s">
        <v>36</v>
      </c>
      <c r="W115">
        <v>14.5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4</v>
      </c>
      <c r="AE115">
        <v>178.10001</v>
      </c>
      <c r="AF115">
        <v>1.7810001</v>
      </c>
      <c r="AG115">
        <v>3.1719613560000002</v>
      </c>
      <c r="AH115">
        <v>66.099997999999999</v>
      </c>
      <c r="AI115">
        <v>20.83884089</v>
      </c>
      <c r="AJ115">
        <v>0</v>
      </c>
      <c r="AK115">
        <f>_xlfn.XLOOKUP(C115,[1]SPACE_GSS_3!$G:$G,[1]SPACE_GSS_3!$AP:$AP)</f>
        <v>0</v>
      </c>
      <c r="AL115">
        <f>_xlfn.XLOOKUP(C115,[1]SPACE_GSS_3!$G:$G,[1]SPACE_GSS_3!$BM:$BM)</f>
        <v>10.95</v>
      </c>
    </row>
    <row r="116" spans="1:38" x14ac:dyDescent="0.25">
      <c r="A116">
        <v>173</v>
      </c>
      <c r="B116">
        <v>229</v>
      </c>
      <c r="C116">
        <v>230</v>
      </c>
      <c r="D116">
        <v>0</v>
      </c>
      <c r="E116">
        <v>1</v>
      </c>
      <c r="F116">
        <v>0</v>
      </c>
      <c r="G116">
        <v>0</v>
      </c>
      <c r="H116" t="s">
        <v>36</v>
      </c>
      <c r="I116" t="s">
        <v>36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  <c r="AI116" t="s">
        <v>36</v>
      </c>
      <c r="AJ116" t="s">
        <v>36</v>
      </c>
      <c r="AK116">
        <f>_xlfn.XLOOKUP(C116,[1]SPACE_GSS_3!$G:$G,[1]SPACE_GSS_3!$AP:$AP)</f>
        <v>1</v>
      </c>
      <c r="AL116">
        <f>_xlfn.XLOOKUP(C116,[1]SPACE_GSS_3!$G:$G,[1]SPACE_GSS_3!$BM:$BM)</f>
        <v>11.7</v>
      </c>
    </row>
    <row r="117" spans="1:38" x14ac:dyDescent="0.25">
      <c r="A117">
        <v>175</v>
      </c>
      <c r="B117">
        <v>231</v>
      </c>
      <c r="C117">
        <v>232</v>
      </c>
      <c r="D117">
        <v>0</v>
      </c>
      <c r="E117">
        <v>1</v>
      </c>
      <c r="F117">
        <v>1</v>
      </c>
      <c r="G117">
        <v>1</v>
      </c>
      <c r="H117">
        <v>13.9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4</v>
      </c>
      <c r="P117">
        <v>167.2</v>
      </c>
      <c r="Q117">
        <v>1.6719999999999999</v>
      </c>
      <c r="R117">
        <v>2.7955839999999998</v>
      </c>
      <c r="S117">
        <v>63.799999</v>
      </c>
      <c r="T117">
        <v>22.821707020000002</v>
      </c>
      <c r="U117">
        <v>-0.1</v>
      </c>
      <c r="V117" t="s">
        <v>36</v>
      </c>
      <c r="W117">
        <v>15</v>
      </c>
      <c r="X117">
        <v>2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4</v>
      </c>
      <c r="AE117">
        <v>169</v>
      </c>
      <c r="AF117">
        <v>1.69</v>
      </c>
      <c r="AG117">
        <v>2.8561000000000001</v>
      </c>
      <c r="AH117">
        <v>63.599997999999999</v>
      </c>
      <c r="AI117">
        <v>22.26812717</v>
      </c>
      <c r="AJ117">
        <v>0</v>
      </c>
      <c r="AK117">
        <f>_xlfn.XLOOKUP(C117,[1]SPACE_GSS_3!$G:$G,[1]SPACE_GSS_3!$AP:$AP)</f>
        <v>0</v>
      </c>
      <c r="AL117">
        <f>_xlfn.XLOOKUP(C117,[1]SPACE_GSS_3!$G:$G,[1]SPACE_GSS_3!$BM:$BM)</f>
        <v>9.35</v>
      </c>
    </row>
    <row r="118" spans="1:38" x14ac:dyDescent="0.25">
      <c r="A118">
        <v>171</v>
      </c>
      <c r="B118">
        <v>233</v>
      </c>
      <c r="C118">
        <v>234</v>
      </c>
      <c r="D118">
        <v>0</v>
      </c>
      <c r="E118">
        <v>1</v>
      </c>
      <c r="F118">
        <v>1</v>
      </c>
      <c r="G118">
        <v>1</v>
      </c>
      <c r="H118">
        <v>12.9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4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>
        <v>14.5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4</v>
      </c>
      <c r="AE118">
        <v>161</v>
      </c>
      <c r="AF118">
        <v>1.61</v>
      </c>
      <c r="AG118">
        <v>2.5920999999999998</v>
      </c>
      <c r="AH118">
        <v>69.199996999999996</v>
      </c>
      <c r="AI118">
        <v>26.696499750000001</v>
      </c>
      <c r="AJ118">
        <v>0</v>
      </c>
      <c r="AK118">
        <f>_xlfn.XLOOKUP(C118,[1]SPACE_GSS_3!$G:$G,[1]SPACE_GSS_3!$AP:$AP)</f>
        <v>2</v>
      </c>
      <c r="AL118">
        <f>_xlfn.XLOOKUP(C118,[1]SPACE_GSS_3!$G:$G,[1]SPACE_GSS_3!$BM:$BM)</f>
        <v>23.1</v>
      </c>
    </row>
    <row r="119" spans="1:38" x14ac:dyDescent="0.25">
      <c r="A119">
        <v>176</v>
      </c>
      <c r="B119">
        <v>235</v>
      </c>
      <c r="C119">
        <v>236</v>
      </c>
      <c r="D119">
        <v>0</v>
      </c>
      <c r="E119">
        <v>1</v>
      </c>
      <c r="F119">
        <v>1</v>
      </c>
      <c r="G119">
        <v>0</v>
      </c>
      <c r="H119">
        <v>12.9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5</v>
      </c>
      <c r="P119">
        <v>160.19999999999999</v>
      </c>
      <c r="Q119">
        <v>1.6020000000000001</v>
      </c>
      <c r="R119">
        <v>2.5664039999999999</v>
      </c>
      <c r="S119">
        <v>48.900002000000001</v>
      </c>
      <c r="T119">
        <v>19.053898759999999</v>
      </c>
      <c r="U119">
        <v>-0.40000001000000002</v>
      </c>
      <c r="V119">
        <v>48.5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  <c r="AI119" t="s">
        <v>36</v>
      </c>
      <c r="AJ119" t="s">
        <v>36</v>
      </c>
      <c r="AK119">
        <f>_xlfn.XLOOKUP(C119,[1]SPACE_GSS_3!$G:$G,[1]SPACE_GSS_3!$AP:$AP)</f>
        <v>0</v>
      </c>
      <c r="AL119">
        <f>_xlfn.XLOOKUP(C119,[1]SPACE_GSS_3!$G:$G,[1]SPACE_GSS_3!$BM:$BM)</f>
        <v>6.2</v>
      </c>
    </row>
    <row r="120" spans="1:38" x14ac:dyDescent="0.25">
      <c r="A120">
        <v>178</v>
      </c>
      <c r="B120">
        <v>237</v>
      </c>
      <c r="C120">
        <v>238</v>
      </c>
      <c r="D120">
        <v>0</v>
      </c>
      <c r="E120">
        <v>1</v>
      </c>
      <c r="F120">
        <v>0</v>
      </c>
      <c r="G120">
        <v>0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  <c r="AI120" t="s">
        <v>36</v>
      </c>
      <c r="AJ120" t="s">
        <v>36</v>
      </c>
      <c r="AK120">
        <f>_xlfn.XLOOKUP(C120,[1]SPACE_GSS_3!$G:$G,[1]SPACE_GSS_3!$AP:$AP)</f>
        <v>1</v>
      </c>
      <c r="AL120">
        <f>_xlfn.XLOOKUP(C120,[1]SPACE_GSS_3!$G:$G,[1]SPACE_GSS_3!$BM:$BM)</f>
        <v>18.7</v>
      </c>
    </row>
    <row r="121" spans="1:38" x14ac:dyDescent="0.25">
      <c r="A121">
        <v>177</v>
      </c>
      <c r="B121">
        <v>239</v>
      </c>
      <c r="C121">
        <v>240</v>
      </c>
      <c r="D121">
        <v>0</v>
      </c>
      <c r="E121">
        <v>1</v>
      </c>
      <c r="F121">
        <v>1</v>
      </c>
      <c r="G121">
        <v>0</v>
      </c>
      <c r="H121">
        <v>12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4</v>
      </c>
      <c r="P121">
        <v>180.3</v>
      </c>
      <c r="Q121">
        <v>1.8029999999999999</v>
      </c>
      <c r="R121">
        <v>3.2508089999999998</v>
      </c>
      <c r="S121">
        <v>61.200001</v>
      </c>
      <c r="T121">
        <v>18.82608329</v>
      </c>
      <c r="U121" t="s">
        <v>36</v>
      </c>
      <c r="V121" t="s">
        <v>36</v>
      </c>
      <c r="W121">
        <v>13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36</v>
      </c>
      <c r="AF121" t="s">
        <v>36</v>
      </c>
      <c r="AG121" t="s">
        <v>36</v>
      </c>
      <c r="AH121" t="s">
        <v>36</v>
      </c>
      <c r="AI121" t="s">
        <v>36</v>
      </c>
      <c r="AJ121" t="s">
        <v>36</v>
      </c>
      <c r="AK121">
        <f>_xlfn.XLOOKUP(C121,[1]SPACE_GSS_3!$G:$G,[1]SPACE_GSS_3!$AP:$AP)</f>
        <v>0</v>
      </c>
      <c r="AL121">
        <f>_xlfn.XLOOKUP(C121,[1]SPACE_GSS_3!$G:$G,[1]SPACE_GSS_3!$BM:$BM)</f>
        <v>11.1</v>
      </c>
    </row>
    <row r="122" spans="1:38" x14ac:dyDescent="0.25">
      <c r="A122">
        <v>180</v>
      </c>
      <c r="B122">
        <v>241</v>
      </c>
      <c r="C122">
        <v>242</v>
      </c>
      <c r="D122">
        <v>0</v>
      </c>
      <c r="E122">
        <v>1</v>
      </c>
      <c r="F122">
        <v>1</v>
      </c>
      <c r="G122">
        <v>1</v>
      </c>
      <c r="H122">
        <v>13.1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4</v>
      </c>
      <c r="P122">
        <v>155.80000000000001</v>
      </c>
      <c r="Q122">
        <v>1.5580000000000001</v>
      </c>
      <c r="R122">
        <v>2.4273639999999999</v>
      </c>
      <c r="S122">
        <v>43.400002000000001</v>
      </c>
      <c r="T122">
        <v>17.87947831</v>
      </c>
      <c r="U122">
        <v>0</v>
      </c>
      <c r="V122" t="s">
        <v>36</v>
      </c>
      <c r="W122">
        <v>14.6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5</v>
      </c>
      <c r="AE122">
        <v>159.5</v>
      </c>
      <c r="AF122">
        <v>1.595</v>
      </c>
      <c r="AG122">
        <v>2.544025</v>
      </c>
      <c r="AH122">
        <v>47.799999</v>
      </c>
      <c r="AI122">
        <v>18.789123140000001</v>
      </c>
      <c r="AJ122">
        <v>0</v>
      </c>
      <c r="AK122">
        <f>_xlfn.XLOOKUP(C122,[1]SPACE_GSS_3!$G:$G,[1]SPACE_GSS_3!$AP:$AP)</f>
        <v>0</v>
      </c>
      <c r="AL122">
        <f>_xlfn.XLOOKUP(C122,[1]SPACE_GSS_3!$G:$G,[1]SPACE_GSS_3!$BM:$BM)</f>
        <v>22.85</v>
      </c>
    </row>
    <row r="123" spans="1:38" x14ac:dyDescent="0.25">
      <c r="A123">
        <v>172</v>
      </c>
      <c r="B123">
        <v>243</v>
      </c>
      <c r="C123">
        <v>244</v>
      </c>
      <c r="D123">
        <v>0</v>
      </c>
      <c r="E123">
        <v>1</v>
      </c>
      <c r="F123">
        <v>0</v>
      </c>
      <c r="G123">
        <v>0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  <c r="AI123" t="s">
        <v>36</v>
      </c>
      <c r="AJ123" t="s">
        <v>36</v>
      </c>
      <c r="AK123">
        <f>_xlfn.XLOOKUP(C123,[1]SPACE_GSS_3!$G:$G,[1]SPACE_GSS_3!$AP:$AP)</f>
        <v>0</v>
      </c>
      <c r="AL123">
        <f>_xlfn.XLOOKUP(C123,[1]SPACE_GSS_3!$G:$G,[1]SPACE_GSS_3!$BM:$BM)</f>
        <v>27.55</v>
      </c>
    </row>
    <row r="124" spans="1:38" x14ac:dyDescent="0.25">
      <c r="A124">
        <v>182</v>
      </c>
      <c r="B124">
        <v>245</v>
      </c>
      <c r="C124">
        <v>246</v>
      </c>
      <c r="D124">
        <v>0</v>
      </c>
      <c r="E124">
        <v>1</v>
      </c>
      <c r="F124">
        <v>1</v>
      </c>
      <c r="G124">
        <v>1</v>
      </c>
      <c r="H124">
        <v>12.2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5</v>
      </c>
      <c r="P124">
        <v>150.5</v>
      </c>
      <c r="Q124">
        <v>1.5049999999999999</v>
      </c>
      <c r="R124">
        <v>2.2650250000000001</v>
      </c>
      <c r="S124">
        <v>50</v>
      </c>
      <c r="T124">
        <v>22.074811539999999</v>
      </c>
      <c r="U124">
        <v>0.1</v>
      </c>
      <c r="V124" t="s">
        <v>36</v>
      </c>
      <c r="W124">
        <v>13.5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>
        <v>156</v>
      </c>
      <c r="AF124">
        <v>1.56</v>
      </c>
      <c r="AG124">
        <v>2.4336000000000002</v>
      </c>
      <c r="AH124">
        <v>52.299999</v>
      </c>
      <c r="AI124">
        <v>21.490795120000001</v>
      </c>
      <c r="AJ124">
        <v>0</v>
      </c>
      <c r="AK124">
        <f>_xlfn.XLOOKUP(C124,[1]SPACE_GSS_3!$G:$G,[1]SPACE_GSS_3!$AP:$AP)</f>
        <v>1</v>
      </c>
      <c r="AL124">
        <f>_xlfn.XLOOKUP(C124,[1]SPACE_GSS_3!$G:$G,[1]SPACE_GSS_3!$BM:$BM)</f>
        <v>10.85</v>
      </c>
    </row>
    <row r="125" spans="1:38" x14ac:dyDescent="0.25">
      <c r="A125">
        <v>179</v>
      </c>
      <c r="B125">
        <v>247</v>
      </c>
      <c r="C125">
        <v>248</v>
      </c>
      <c r="D125">
        <v>0</v>
      </c>
      <c r="E125">
        <v>1</v>
      </c>
      <c r="F125">
        <v>1</v>
      </c>
      <c r="G125">
        <v>0</v>
      </c>
      <c r="H125">
        <v>11.8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5</v>
      </c>
      <c r="P125">
        <v>151.80000000000001</v>
      </c>
      <c r="Q125">
        <v>1.518</v>
      </c>
      <c r="R125">
        <v>2.3043239999999998</v>
      </c>
      <c r="S125">
        <v>40.200001</v>
      </c>
      <c r="T125">
        <v>17.445463830000001</v>
      </c>
      <c r="U125">
        <v>0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  <c r="AI125" t="s">
        <v>36</v>
      </c>
      <c r="AJ125" t="s">
        <v>36</v>
      </c>
      <c r="AK125">
        <f>_xlfn.XLOOKUP(C125,[1]SPACE_GSS_3!$G:$G,[1]SPACE_GSS_3!$AP:$AP)</f>
        <v>0</v>
      </c>
      <c r="AL125">
        <f>_xlfn.XLOOKUP(C125,[1]SPACE_GSS_3!$G:$G,[1]SPACE_GSS_3!$BM:$BM)</f>
        <v>37.1</v>
      </c>
    </row>
    <row r="126" spans="1:38" x14ac:dyDescent="0.25">
      <c r="A126">
        <v>181</v>
      </c>
      <c r="B126">
        <v>249</v>
      </c>
      <c r="C126">
        <v>250</v>
      </c>
      <c r="D126">
        <v>0</v>
      </c>
      <c r="E126">
        <v>1</v>
      </c>
      <c r="F126">
        <v>1</v>
      </c>
      <c r="G126">
        <v>1</v>
      </c>
      <c r="H126">
        <v>14.2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5</v>
      </c>
      <c r="P126">
        <v>161</v>
      </c>
      <c r="Q126">
        <v>1.61</v>
      </c>
      <c r="R126">
        <v>2.5920999999999998</v>
      </c>
      <c r="S126">
        <v>51.5</v>
      </c>
      <c r="T126">
        <v>19.86806065</v>
      </c>
      <c r="U126">
        <v>-0.1</v>
      </c>
      <c r="V126" t="s">
        <v>36</v>
      </c>
      <c r="W126">
        <v>15.4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5</v>
      </c>
      <c r="AE126">
        <v>163.19999999999999</v>
      </c>
      <c r="AF126">
        <v>1.6319999999999999</v>
      </c>
      <c r="AG126">
        <v>2.663424</v>
      </c>
      <c r="AH126">
        <v>56.700001</v>
      </c>
      <c r="AI126">
        <v>21.288387050000001</v>
      </c>
      <c r="AJ126">
        <v>-0.1</v>
      </c>
      <c r="AK126">
        <f>_xlfn.XLOOKUP(C126,[1]SPACE_GSS_3!$G:$G,[1]SPACE_GSS_3!$AP:$AP)</f>
        <v>1</v>
      </c>
      <c r="AL126">
        <f>_xlfn.XLOOKUP(C126,[1]SPACE_GSS_3!$G:$G,[1]SPACE_GSS_3!$BM:$BM)</f>
        <v>8.8000000000000007</v>
      </c>
    </row>
    <row r="127" spans="1:38" x14ac:dyDescent="0.25">
      <c r="A127">
        <v>187</v>
      </c>
      <c r="B127">
        <v>251</v>
      </c>
      <c r="C127">
        <v>252</v>
      </c>
      <c r="D127">
        <v>0</v>
      </c>
      <c r="E127">
        <v>1</v>
      </c>
      <c r="F127">
        <v>1</v>
      </c>
      <c r="G127">
        <v>1</v>
      </c>
      <c r="H127">
        <v>14.2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4</v>
      </c>
      <c r="P127">
        <v>169.39999</v>
      </c>
      <c r="Q127">
        <v>1.6939998999999999</v>
      </c>
      <c r="R127">
        <v>2.8696356609999998</v>
      </c>
      <c r="S127">
        <v>60.599997999999999</v>
      </c>
      <c r="T127">
        <v>21.117662710000001</v>
      </c>
      <c r="U127">
        <v>0</v>
      </c>
      <c r="V127" t="s">
        <v>36</v>
      </c>
      <c r="W127">
        <v>15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5</v>
      </c>
      <c r="AE127">
        <v>169.89999</v>
      </c>
      <c r="AF127">
        <v>1.6989999</v>
      </c>
      <c r="AG127">
        <v>2.88660066</v>
      </c>
      <c r="AH127">
        <v>64.300003000000004</v>
      </c>
      <c r="AI127">
        <v>22.275337180000001</v>
      </c>
      <c r="AJ127">
        <v>0</v>
      </c>
      <c r="AK127">
        <f>_xlfn.XLOOKUP(C127,[1]SPACE_GSS_3!$G:$G,[1]SPACE_GSS_3!$AP:$AP)</f>
        <v>0</v>
      </c>
      <c r="AL127">
        <f>_xlfn.XLOOKUP(C127,[1]SPACE_GSS_3!$G:$G,[1]SPACE_GSS_3!$BM:$BM)</f>
        <v>11.5</v>
      </c>
    </row>
    <row r="128" spans="1:38" x14ac:dyDescent="0.25">
      <c r="A128">
        <v>186</v>
      </c>
      <c r="B128">
        <v>253</v>
      </c>
      <c r="C128">
        <v>254</v>
      </c>
      <c r="D128">
        <v>0</v>
      </c>
      <c r="E128">
        <v>1</v>
      </c>
      <c r="F128">
        <v>1</v>
      </c>
      <c r="G128">
        <v>1</v>
      </c>
      <c r="H128">
        <v>14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2</v>
      </c>
      <c r="P128">
        <v>165.10001</v>
      </c>
      <c r="Q128">
        <v>1.6510001000000001</v>
      </c>
      <c r="R128">
        <v>2.7258013299999999</v>
      </c>
      <c r="S128">
        <v>62.5</v>
      </c>
      <c r="T128">
        <v>22.92903716</v>
      </c>
      <c r="U128">
        <v>-0.1</v>
      </c>
      <c r="V128" t="s">
        <v>36</v>
      </c>
      <c r="W128">
        <v>15.2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</v>
      </c>
      <c r="AE128">
        <v>167.89999</v>
      </c>
      <c r="AF128">
        <v>1.6789999</v>
      </c>
      <c r="AG128">
        <v>2.8190406640000001</v>
      </c>
      <c r="AH128">
        <v>59</v>
      </c>
      <c r="AI128">
        <v>20.92910569</v>
      </c>
      <c r="AJ128">
        <v>0</v>
      </c>
      <c r="AK128">
        <f>_xlfn.XLOOKUP(C128,[1]SPACE_GSS_3!$G:$G,[1]SPACE_GSS_3!$AP:$AP)</f>
        <v>1</v>
      </c>
      <c r="AL128">
        <f>_xlfn.XLOOKUP(C128,[1]SPACE_GSS_3!$G:$G,[1]SPACE_GSS_3!$BM:$BM)</f>
        <v>4.45</v>
      </c>
    </row>
    <row r="129" spans="1:38" x14ac:dyDescent="0.25">
      <c r="A129">
        <v>188</v>
      </c>
      <c r="B129">
        <v>255</v>
      </c>
      <c r="C129">
        <v>256</v>
      </c>
      <c r="D129">
        <v>0</v>
      </c>
      <c r="E129">
        <v>1</v>
      </c>
      <c r="F129">
        <v>1</v>
      </c>
      <c r="G129">
        <v>0</v>
      </c>
      <c r="H129">
        <v>13.9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4</v>
      </c>
      <c r="P129">
        <v>161.5</v>
      </c>
      <c r="Q129">
        <v>1.615</v>
      </c>
      <c r="R129">
        <v>2.608225</v>
      </c>
      <c r="S129">
        <v>49.799999</v>
      </c>
      <c r="T129">
        <v>19.093444389999998</v>
      </c>
      <c r="U129">
        <v>0.1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36</v>
      </c>
      <c r="AF129" t="s">
        <v>36</v>
      </c>
      <c r="AG129" t="s">
        <v>36</v>
      </c>
      <c r="AH129" t="s">
        <v>36</v>
      </c>
      <c r="AI129" t="s">
        <v>36</v>
      </c>
      <c r="AJ129" t="s">
        <v>36</v>
      </c>
      <c r="AK129">
        <f>_xlfn.XLOOKUP(C129,[1]SPACE_GSS_3!$G:$G,[1]SPACE_GSS_3!$AP:$AP)</f>
        <v>0</v>
      </c>
      <c r="AL129">
        <f>_xlfn.XLOOKUP(C129,[1]SPACE_GSS_3!$G:$G,[1]SPACE_GSS_3!$BM:$BM)</f>
        <v>20.95</v>
      </c>
    </row>
    <row r="130" spans="1:38" x14ac:dyDescent="0.25">
      <c r="A130">
        <v>193</v>
      </c>
      <c r="B130">
        <v>257</v>
      </c>
      <c r="C130">
        <v>258</v>
      </c>
      <c r="D130">
        <v>0</v>
      </c>
      <c r="E130">
        <v>1</v>
      </c>
      <c r="F130">
        <v>1</v>
      </c>
      <c r="G130">
        <v>1</v>
      </c>
      <c r="H130">
        <v>14.3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4</v>
      </c>
      <c r="P130">
        <v>163.60001</v>
      </c>
      <c r="Q130">
        <v>1.6360001</v>
      </c>
      <c r="R130">
        <v>2.6764963270000002</v>
      </c>
      <c r="S130">
        <v>56.799999</v>
      </c>
      <c r="T130">
        <v>21.221773559999999</v>
      </c>
      <c r="U130">
        <v>0</v>
      </c>
      <c r="V130" t="s">
        <v>36</v>
      </c>
      <c r="W130">
        <v>15.2</v>
      </c>
      <c r="X130">
        <v>2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5</v>
      </c>
      <c r="AE130">
        <v>164.5</v>
      </c>
      <c r="AF130">
        <v>1.645</v>
      </c>
      <c r="AG130">
        <v>2.7060249999999999</v>
      </c>
      <c r="AH130">
        <v>63.200001</v>
      </c>
      <c r="AI130">
        <v>23.355290879999998</v>
      </c>
      <c r="AJ130">
        <v>0</v>
      </c>
      <c r="AK130">
        <f>_xlfn.XLOOKUP(C130,[1]SPACE_GSS_3!$G:$G,[1]SPACE_GSS_3!$AP:$AP)</f>
        <v>3</v>
      </c>
      <c r="AL130">
        <f>_xlfn.XLOOKUP(C130,[1]SPACE_GSS_3!$G:$G,[1]SPACE_GSS_3!$BM:$BM)</f>
        <v>14.4</v>
      </c>
    </row>
    <row r="131" spans="1:38" x14ac:dyDescent="0.25">
      <c r="A131">
        <v>189</v>
      </c>
      <c r="B131">
        <v>259</v>
      </c>
      <c r="C131">
        <v>260</v>
      </c>
      <c r="D131">
        <v>0</v>
      </c>
      <c r="E131">
        <v>1</v>
      </c>
      <c r="F131">
        <v>0</v>
      </c>
      <c r="G131">
        <v>0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  <c r="AI131" t="s">
        <v>36</v>
      </c>
      <c r="AJ131" t="s">
        <v>36</v>
      </c>
      <c r="AK131">
        <f>_xlfn.XLOOKUP(C131,[1]SPACE_GSS_3!$G:$G,[1]SPACE_GSS_3!$AP:$AP)</f>
        <v>1</v>
      </c>
      <c r="AL131">
        <f>_xlfn.XLOOKUP(C131,[1]SPACE_GSS_3!$G:$G,[1]SPACE_GSS_3!$BM:$BM)</f>
        <v>18.899999999999999</v>
      </c>
    </row>
    <row r="132" spans="1:38" x14ac:dyDescent="0.25">
      <c r="A132">
        <v>183</v>
      </c>
      <c r="B132">
        <v>261</v>
      </c>
      <c r="C132">
        <v>262</v>
      </c>
      <c r="D132">
        <v>0</v>
      </c>
      <c r="E132">
        <v>1</v>
      </c>
      <c r="F132">
        <v>0</v>
      </c>
      <c r="G132">
        <v>0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36</v>
      </c>
      <c r="AF132" t="s">
        <v>36</v>
      </c>
      <c r="AG132" t="s">
        <v>36</v>
      </c>
      <c r="AH132" t="s">
        <v>36</v>
      </c>
      <c r="AI132" t="s">
        <v>36</v>
      </c>
      <c r="AJ132" t="s">
        <v>36</v>
      </c>
      <c r="AK132">
        <f>_xlfn.XLOOKUP(C132,[1]SPACE_GSS_3!$G:$G,[1]SPACE_GSS_3!$AP:$AP)</f>
        <v>0</v>
      </c>
      <c r="AL132">
        <f>_xlfn.XLOOKUP(C132,[1]SPACE_GSS_3!$G:$G,[1]SPACE_GSS_3!$BM:$BM)</f>
        <v>18.899999999999999</v>
      </c>
    </row>
    <row r="133" spans="1:38" x14ac:dyDescent="0.25">
      <c r="A133">
        <v>197</v>
      </c>
      <c r="B133">
        <v>263</v>
      </c>
      <c r="C133">
        <v>264</v>
      </c>
      <c r="D133">
        <v>0</v>
      </c>
      <c r="E133">
        <v>1</v>
      </c>
      <c r="F133">
        <v>1</v>
      </c>
      <c r="G133">
        <v>1</v>
      </c>
      <c r="H133">
        <v>14.7</v>
      </c>
      <c r="I133">
        <v>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4</v>
      </c>
      <c r="P133">
        <v>164.2</v>
      </c>
      <c r="Q133">
        <v>1.6419999999999999</v>
      </c>
      <c r="R133">
        <v>2.696164</v>
      </c>
      <c r="S133">
        <v>44.799999</v>
      </c>
      <c r="T133">
        <v>16.616199529999999</v>
      </c>
      <c r="U133">
        <v>0.1</v>
      </c>
      <c r="V133" t="s">
        <v>36</v>
      </c>
      <c r="W133">
        <v>16.399999999999999</v>
      </c>
      <c r="X133">
        <v>2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4</v>
      </c>
      <c r="AE133">
        <v>170.39999</v>
      </c>
      <c r="AF133">
        <v>1.7039998999999999</v>
      </c>
      <c r="AG133">
        <v>2.9036156590000002</v>
      </c>
      <c r="AH133">
        <v>70.099997999999999</v>
      </c>
      <c r="AI133">
        <v>24.142312969999999</v>
      </c>
      <c r="AJ133">
        <v>0.1</v>
      </c>
      <c r="AK133">
        <f>_xlfn.XLOOKUP(C133,[1]SPACE_GSS_3!$G:$G,[1]SPACE_GSS_3!$AP:$AP)</f>
        <v>0</v>
      </c>
      <c r="AL133">
        <f>_xlfn.XLOOKUP(C133,[1]SPACE_GSS_3!$G:$G,[1]SPACE_GSS_3!$BM:$BM)</f>
        <v>5.75</v>
      </c>
    </row>
    <row r="134" spans="1:38" x14ac:dyDescent="0.25">
      <c r="A134">
        <v>198</v>
      </c>
      <c r="B134">
        <v>265</v>
      </c>
      <c r="C134">
        <v>266</v>
      </c>
      <c r="D134">
        <v>0</v>
      </c>
      <c r="E134">
        <v>1</v>
      </c>
      <c r="F134">
        <v>1</v>
      </c>
      <c r="G134">
        <v>1</v>
      </c>
      <c r="H134">
        <v>12.8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5</v>
      </c>
      <c r="P134">
        <v>167.60001</v>
      </c>
      <c r="Q134">
        <v>1.6760001</v>
      </c>
      <c r="R134">
        <v>2.8089763350000001</v>
      </c>
      <c r="S134">
        <v>55.799999</v>
      </c>
      <c r="T134">
        <v>19.864887540000002</v>
      </c>
      <c r="U134">
        <v>-0.1</v>
      </c>
      <c r="V134" t="s">
        <v>36</v>
      </c>
      <c r="W134">
        <v>14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5</v>
      </c>
      <c r="AE134">
        <v>171</v>
      </c>
      <c r="AF134">
        <v>1.71</v>
      </c>
      <c r="AG134">
        <v>2.9241000000000001</v>
      </c>
      <c r="AH134">
        <v>62.799999</v>
      </c>
      <c r="AI134">
        <v>21.476693340000001</v>
      </c>
      <c r="AJ134">
        <v>0</v>
      </c>
      <c r="AK134">
        <f>_xlfn.XLOOKUP(C134,[1]SPACE_GSS_3!$G:$G,[1]SPACE_GSS_3!$AP:$AP)</f>
        <v>6</v>
      </c>
      <c r="AL134">
        <f>_xlfn.XLOOKUP(C134,[1]SPACE_GSS_3!$G:$G,[1]SPACE_GSS_3!$BM:$BM)</f>
        <v>36.1</v>
      </c>
    </row>
    <row r="135" spans="1:38" x14ac:dyDescent="0.25">
      <c r="A135">
        <v>192</v>
      </c>
      <c r="B135">
        <v>267</v>
      </c>
      <c r="C135">
        <v>268</v>
      </c>
      <c r="D135">
        <v>0</v>
      </c>
      <c r="E135">
        <v>1</v>
      </c>
      <c r="F135">
        <v>1</v>
      </c>
      <c r="G135">
        <v>0</v>
      </c>
      <c r="H135">
        <v>14.3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5</v>
      </c>
      <c r="P135">
        <v>175</v>
      </c>
      <c r="Q135">
        <v>1.75</v>
      </c>
      <c r="R135">
        <v>3.0625</v>
      </c>
      <c r="S135">
        <v>53</v>
      </c>
      <c r="T135">
        <v>17.30612245</v>
      </c>
      <c r="U135">
        <v>0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  <c r="AI135" t="s">
        <v>36</v>
      </c>
      <c r="AJ135" t="s">
        <v>36</v>
      </c>
      <c r="AK135">
        <f>_xlfn.XLOOKUP(C135,[1]SPACE_GSS_3!$G:$G,[1]SPACE_GSS_3!$AP:$AP)</f>
        <v>4</v>
      </c>
      <c r="AL135">
        <f>_xlfn.XLOOKUP(C135,[1]SPACE_GSS_3!$G:$G,[1]SPACE_GSS_3!$BM:$BM)</f>
        <v>22.25</v>
      </c>
    </row>
    <row r="136" spans="1:38" x14ac:dyDescent="0.25">
      <c r="A136">
        <v>191</v>
      </c>
      <c r="B136">
        <v>269</v>
      </c>
      <c r="C136">
        <v>270</v>
      </c>
      <c r="D136">
        <v>0</v>
      </c>
      <c r="E136">
        <v>1</v>
      </c>
      <c r="F136">
        <v>1</v>
      </c>
      <c r="G136">
        <v>1</v>
      </c>
      <c r="H136">
        <v>14.7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3</v>
      </c>
      <c r="P136">
        <v>151.5</v>
      </c>
      <c r="Q136">
        <v>1.5149999999999999</v>
      </c>
      <c r="R136">
        <v>2.2952249999999998</v>
      </c>
      <c r="S136">
        <v>40.5</v>
      </c>
      <c r="T136">
        <v>17.645328889999998</v>
      </c>
      <c r="U136">
        <v>0</v>
      </c>
      <c r="V136" t="s">
        <v>36</v>
      </c>
      <c r="W136">
        <v>15.8</v>
      </c>
      <c r="X136" t="s">
        <v>36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36</v>
      </c>
      <c r="AE136">
        <v>152.5</v>
      </c>
      <c r="AF136">
        <v>1.5249999999999999</v>
      </c>
      <c r="AG136">
        <v>2.3256250000000001</v>
      </c>
      <c r="AH136">
        <v>46.900002000000001</v>
      </c>
      <c r="AI136">
        <v>20.166622740000001</v>
      </c>
      <c r="AJ136">
        <v>0</v>
      </c>
      <c r="AK136">
        <f>_xlfn.XLOOKUP(C136,[1]SPACE_GSS_3!$G:$G,[1]SPACE_GSS_3!$AP:$AP)</f>
        <v>2</v>
      </c>
      <c r="AL136">
        <f>_xlfn.XLOOKUP(C136,[1]SPACE_GSS_3!$G:$G,[1]SPACE_GSS_3!$BM:$BM)</f>
        <v>12.1</v>
      </c>
    </row>
    <row r="137" spans="1:38" x14ac:dyDescent="0.25">
      <c r="A137">
        <v>199</v>
      </c>
      <c r="B137">
        <v>271</v>
      </c>
      <c r="C137">
        <v>272</v>
      </c>
      <c r="D137">
        <v>0</v>
      </c>
      <c r="E137">
        <v>1</v>
      </c>
      <c r="F137">
        <v>1</v>
      </c>
      <c r="G137">
        <v>1</v>
      </c>
      <c r="H137">
        <v>13.7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5</v>
      </c>
      <c r="P137">
        <v>166.60001</v>
      </c>
      <c r="Q137">
        <v>1.6660001</v>
      </c>
      <c r="R137">
        <v>2.7755563329999999</v>
      </c>
      <c r="S137">
        <v>54.599997999999999</v>
      </c>
      <c r="T137">
        <v>19.67173116</v>
      </c>
      <c r="U137">
        <v>-0.1</v>
      </c>
      <c r="V137" t="s">
        <v>36</v>
      </c>
      <c r="W137">
        <v>15.2</v>
      </c>
      <c r="X137" t="s">
        <v>36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36</v>
      </c>
      <c r="AE137">
        <v>170.89999</v>
      </c>
      <c r="AF137">
        <v>1.7089999</v>
      </c>
      <c r="AG137">
        <v>2.9206806580000002</v>
      </c>
      <c r="AH137">
        <v>60.900002000000001</v>
      </c>
      <c r="AI137">
        <v>20.851304590000002</v>
      </c>
      <c r="AJ137">
        <v>0</v>
      </c>
      <c r="AK137">
        <f>_xlfn.XLOOKUP(C137,[1]SPACE_GSS_3!$G:$G,[1]SPACE_GSS_3!$AP:$AP)</f>
        <v>2</v>
      </c>
      <c r="AL137">
        <f>_xlfn.XLOOKUP(C137,[1]SPACE_GSS_3!$G:$G,[1]SPACE_GSS_3!$BM:$BM)</f>
        <v>25.5</v>
      </c>
    </row>
    <row r="138" spans="1:38" x14ac:dyDescent="0.25">
      <c r="A138">
        <v>201</v>
      </c>
      <c r="B138">
        <v>273</v>
      </c>
      <c r="C138">
        <v>274</v>
      </c>
      <c r="D138">
        <v>0</v>
      </c>
      <c r="E138">
        <v>1</v>
      </c>
      <c r="F138">
        <v>1</v>
      </c>
      <c r="G138">
        <v>1</v>
      </c>
      <c r="H138">
        <v>15.6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5</v>
      </c>
      <c r="P138">
        <v>173.39999</v>
      </c>
      <c r="Q138">
        <v>1.7339998999999999</v>
      </c>
      <c r="R138">
        <v>3.0067556529999999</v>
      </c>
      <c r="S138">
        <v>55</v>
      </c>
      <c r="T138">
        <v>18.29214155</v>
      </c>
      <c r="U138">
        <v>0.1</v>
      </c>
      <c r="V138" t="s">
        <v>36</v>
      </c>
      <c r="W138">
        <v>16.600000000000001</v>
      </c>
      <c r="X138" t="s">
        <v>36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36</v>
      </c>
      <c r="AE138">
        <v>174.5</v>
      </c>
      <c r="AF138">
        <v>1.7450000000000001</v>
      </c>
      <c r="AG138">
        <v>3.0450249999999999</v>
      </c>
      <c r="AH138">
        <v>56.400002000000001</v>
      </c>
      <c r="AI138">
        <v>18.52201608</v>
      </c>
      <c r="AJ138">
        <v>0</v>
      </c>
      <c r="AK138">
        <f>_xlfn.XLOOKUP(C138,[1]SPACE_GSS_3!$G:$G,[1]SPACE_GSS_3!$AP:$AP)</f>
        <v>2</v>
      </c>
      <c r="AL138">
        <f>_xlfn.XLOOKUP(C138,[1]SPACE_GSS_3!$G:$G,[1]SPACE_GSS_3!$BM:$BM)</f>
        <v>18.05</v>
      </c>
    </row>
    <row r="139" spans="1:38" x14ac:dyDescent="0.25">
      <c r="A139">
        <v>200</v>
      </c>
      <c r="B139">
        <v>275</v>
      </c>
      <c r="C139">
        <v>276</v>
      </c>
      <c r="D139">
        <v>0</v>
      </c>
      <c r="E139">
        <v>1</v>
      </c>
      <c r="F139">
        <v>0</v>
      </c>
      <c r="G139">
        <v>0</v>
      </c>
      <c r="H139" t="s">
        <v>36</v>
      </c>
      <c r="I139" t="s">
        <v>36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  <c r="AI139" t="s">
        <v>36</v>
      </c>
      <c r="AJ139" t="s">
        <v>36</v>
      </c>
      <c r="AK139">
        <f>_xlfn.XLOOKUP(C139,[1]SPACE_GSS_3!$G:$G,[1]SPACE_GSS_3!$AP:$AP)</f>
        <v>2</v>
      </c>
      <c r="AL139">
        <f>_xlfn.XLOOKUP(C139,[1]SPACE_GSS_3!$G:$G,[1]SPACE_GSS_3!$BM:$BM)</f>
        <v>8.0500000000000007</v>
      </c>
    </row>
    <row r="140" spans="1:38" x14ac:dyDescent="0.25">
      <c r="A140">
        <v>190</v>
      </c>
      <c r="B140">
        <v>277</v>
      </c>
      <c r="C140">
        <v>278</v>
      </c>
      <c r="D140">
        <v>0</v>
      </c>
      <c r="E140">
        <v>1</v>
      </c>
      <c r="F140">
        <v>1</v>
      </c>
      <c r="G140">
        <v>1</v>
      </c>
      <c r="H140">
        <v>14.4</v>
      </c>
      <c r="I140" t="s">
        <v>36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36</v>
      </c>
      <c r="P140">
        <v>166.10001</v>
      </c>
      <c r="Q140">
        <v>1.6610001000000001</v>
      </c>
      <c r="R140">
        <v>2.7589213319999999</v>
      </c>
      <c r="S140">
        <v>49.900002000000001</v>
      </c>
      <c r="T140">
        <v>18.086779570000001</v>
      </c>
      <c r="U140">
        <v>0.1</v>
      </c>
      <c r="V140" t="s">
        <v>36</v>
      </c>
      <c r="W140">
        <v>15.5</v>
      </c>
      <c r="X140" t="s">
        <v>36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36</v>
      </c>
      <c r="AE140">
        <v>166.5</v>
      </c>
      <c r="AF140">
        <v>1.665</v>
      </c>
      <c r="AG140">
        <v>2.7722250000000002</v>
      </c>
      <c r="AH140">
        <v>52.299999</v>
      </c>
      <c r="AI140">
        <v>18.865712200000001</v>
      </c>
      <c r="AJ140">
        <v>0</v>
      </c>
      <c r="AK140">
        <f>_xlfn.XLOOKUP(C140,[1]SPACE_GSS_3!$G:$G,[1]SPACE_GSS_3!$AP:$AP)</f>
        <v>1</v>
      </c>
      <c r="AL140">
        <f>_xlfn.XLOOKUP(C140,[1]SPACE_GSS_3!$G:$G,[1]SPACE_GSS_3!$BM:$BM)</f>
        <v>16.7</v>
      </c>
    </row>
    <row r="141" spans="1:38" x14ac:dyDescent="0.25">
      <c r="A141">
        <v>202</v>
      </c>
      <c r="B141">
        <v>279</v>
      </c>
      <c r="C141">
        <v>280</v>
      </c>
      <c r="D141">
        <v>0</v>
      </c>
      <c r="E141">
        <v>1</v>
      </c>
      <c r="F141">
        <v>0</v>
      </c>
      <c r="G141">
        <v>1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>
        <v>17.2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5</v>
      </c>
      <c r="AE141">
        <v>164.5</v>
      </c>
      <c r="AF141">
        <v>1.645</v>
      </c>
      <c r="AG141">
        <v>2.7060249999999999</v>
      </c>
      <c r="AH141">
        <v>59.5</v>
      </c>
      <c r="AI141">
        <v>21.987971290000001</v>
      </c>
      <c r="AJ141">
        <v>0.1</v>
      </c>
      <c r="AK141">
        <f>_xlfn.XLOOKUP(C141,[1]SPACE_GSS_3!$G:$G,[1]SPACE_GSS_3!$AP:$AP)</f>
        <v>3</v>
      </c>
      <c r="AL141">
        <f>_xlfn.XLOOKUP(C141,[1]SPACE_GSS_3!$G:$G,[1]SPACE_GSS_3!$BM:$BM)</f>
        <v>32.75</v>
      </c>
    </row>
    <row r="142" spans="1:38" x14ac:dyDescent="0.25">
      <c r="A142">
        <v>203</v>
      </c>
      <c r="B142">
        <v>281</v>
      </c>
      <c r="C142">
        <v>282</v>
      </c>
      <c r="D142">
        <v>0</v>
      </c>
      <c r="E142">
        <v>1</v>
      </c>
      <c r="F142">
        <v>1</v>
      </c>
      <c r="G142">
        <v>1</v>
      </c>
      <c r="H142">
        <v>13.7</v>
      </c>
      <c r="I142">
        <v>2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164</v>
      </c>
      <c r="Q142">
        <v>1.64</v>
      </c>
      <c r="R142">
        <v>2.6896</v>
      </c>
      <c r="S142">
        <v>49.5</v>
      </c>
      <c r="T142">
        <v>18.404223680000001</v>
      </c>
      <c r="U142">
        <v>-0.1</v>
      </c>
      <c r="V142" t="s">
        <v>36</v>
      </c>
      <c r="W142">
        <v>14.9</v>
      </c>
      <c r="X142">
        <v>2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5</v>
      </c>
      <c r="AE142">
        <v>167.3</v>
      </c>
      <c r="AF142">
        <v>1.673</v>
      </c>
      <c r="AG142">
        <v>2.7989289999999998</v>
      </c>
      <c r="AH142">
        <v>53.200001</v>
      </c>
      <c r="AI142">
        <v>19.007270640000002</v>
      </c>
      <c r="AJ142">
        <v>0</v>
      </c>
      <c r="AK142">
        <f>_xlfn.XLOOKUP(C142,[1]SPACE_GSS_3!$G:$G,[1]SPACE_GSS_3!$AP:$AP)</f>
        <v>0</v>
      </c>
      <c r="AL142">
        <f>_xlfn.XLOOKUP(C142,[1]SPACE_GSS_3!$G:$G,[1]SPACE_GSS_3!$BM:$BM)</f>
        <v>24.2</v>
      </c>
    </row>
    <row r="143" spans="1:38" x14ac:dyDescent="0.25">
      <c r="A143">
        <v>204</v>
      </c>
      <c r="B143">
        <v>283</v>
      </c>
      <c r="C143">
        <v>284</v>
      </c>
      <c r="D143">
        <v>0</v>
      </c>
      <c r="E143">
        <v>1</v>
      </c>
      <c r="F143">
        <v>1</v>
      </c>
      <c r="G143">
        <v>1</v>
      </c>
      <c r="H143">
        <v>14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5</v>
      </c>
      <c r="P143">
        <v>161.19999999999999</v>
      </c>
      <c r="Q143">
        <v>1.6120000000000001</v>
      </c>
      <c r="R143">
        <v>2.598544</v>
      </c>
      <c r="S143">
        <v>45</v>
      </c>
      <c r="T143">
        <v>17.31739005</v>
      </c>
      <c r="U143">
        <v>-0.1</v>
      </c>
      <c r="V143" t="s">
        <v>36</v>
      </c>
      <c r="W143">
        <v>15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>
        <v>164</v>
      </c>
      <c r="AF143">
        <v>1.64</v>
      </c>
      <c r="AG143">
        <v>2.6896</v>
      </c>
      <c r="AH143">
        <v>45.799999</v>
      </c>
      <c r="AI143">
        <v>17.028554060000001</v>
      </c>
      <c r="AJ143">
        <v>0</v>
      </c>
      <c r="AK143">
        <f>_xlfn.XLOOKUP(C143,[1]SPACE_GSS_3!$G:$G,[1]SPACE_GSS_3!$AP:$AP)</f>
        <v>1</v>
      </c>
      <c r="AL143">
        <f>_xlfn.XLOOKUP(C143,[1]SPACE_GSS_3!$G:$G,[1]SPACE_GSS_3!$BM:$BM)</f>
        <v>24.2</v>
      </c>
    </row>
    <row r="144" spans="1:38" x14ac:dyDescent="0.25">
      <c r="A144">
        <v>208</v>
      </c>
      <c r="B144">
        <v>287</v>
      </c>
      <c r="C144">
        <v>286</v>
      </c>
      <c r="D144">
        <v>0</v>
      </c>
      <c r="E144">
        <v>1</v>
      </c>
      <c r="F144">
        <v>1</v>
      </c>
      <c r="G144">
        <v>0</v>
      </c>
      <c r="H144">
        <v>13.7</v>
      </c>
      <c r="I144">
        <v>2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4</v>
      </c>
      <c r="P144">
        <v>169.3</v>
      </c>
      <c r="Q144">
        <v>1.6930000000000001</v>
      </c>
      <c r="R144">
        <v>2.8662489999999998</v>
      </c>
      <c r="S144">
        <v>55.099997999999999</v>
      </c>
      <c r="T144">
        <v>19.22373039</v>
      </c>
      <c r="U144">
        <v>0.1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36</v>
      </c>
      <c r="AF144" t="s">
        <v>36</v>
      </c>
      <c r="AG144" t="s">
        <v>36</v>
      </c>
      <c r="AH144" t="s">
        <v>36</v>
      </c>
      <c r="AI144" t="s">
        <v>36</v>
      </c>
      <c r="AJ144" t="s">
        <v>36</v>
      </c>
      <c r="AK144">
        <f>_xlfn.XLOOKUP(C144,[1]SPACE_GSS_3!$G:$G,[1]SPACE_GSS_3!$AP:$AP)</f>
        <v>2</v>
      </c>
      <c r="AL144">
        <f>_xlfn.XLOOKUP(C144,[1]SPACE_GSS_3!$G:$G,[1]SPACE_GSS_3!$BM:$BM)</f>
        <v>12.1</v>
      </c>
    </row>
    <row r="145" spans="1:38" x14ac:dyDescent="0.25">
      <c r="A145">
        <v>210</v>
      </c>
      <c r="B145">
        <v>288</v>
      </c>
      <c r="C145">
        <v>288</v>
      </c>
      <c r="D145">
        <v>0</v>
      </c>
      <c r="E145">
        <v>1</v>
      </c>
      <c r="F145">
        <v>0</v>
      </c>
      <c r="G145">
        <v>0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  <c r="AI145" t="s">
        <v>36</v>
      </c>
      <c r="AJ145" t="s">
        <v>36</v>
      </c>
      <c r="AK145">
        <f>_xlfn.XLOOKUP(C145,[1]SPACE_GSS_3!$G:$G,[1]SPACE_GSS_3!$AP:$AP)</f>
        <v>0</v>
      </c>
      <c r="AL145">
        <f>_xlfn.XLOOKUP(C145,[1]SPACE_GSS_3!$G:$G,[1]SPACE_GSS_3!$BM:$BM)</f>
        <v>28.5</v>
      </c>
    </row>
    <row r="146" spans="1:38" x14ac:dyDescent="0.25">
      <c r="A146">
        <v>211</v>
      </c>
      <c r="B146">
        <v>289</v>
      </c>
      <c r="C146">
        <v>290</v>
      </c>
      <c r="D146">
        <v>0</v>
      </c>
      <c r="E146">
        <v>1</v>
      </c>
      <c r="F146">
        <v>1</v>
      </c>
      <c r="G146">
        <v>1</v>
      </c>
      <c r="H146">
        <v>13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4</v>
      </c>
      <c r="P146">
        <v>174</v>
      </c>
      <c r="Q146">
        <v>1.74</v>
      </c>
      <c r="R146">
        <v>3.0276000000000001</v>
      </c>
      <c r="S146">
        <v>59.299999</v>
      </c>
      <c r="T146">
        <v>19.586470800000001</v>
      </c>
      <c r="U146">
        <v>0</v>
      </c>
      <c r="V146" t="s">
        <v>36</v>
      </c>
      <c r="W146">
        <v>14.4</v>
      </c>
      <c r="X146">
        <v>2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4</v>
      </c>
      <c r="AE146">
        <v>178.7</v>
      </c>
      <c r="AF146">
        <v>1.7869999999999999</v>
      </c>
      <c r="AG146">
        <v>3.1933690000000001</v>
      </c>
      <c r="AH146">
        <v>62</v>
      </c>
      <c r="AI146">
        <v>19.415232</v>
      </c>
      <c r="AJ146">
        <v>0</v>
      </c>
      <c r="AK146">
        <f>_xlfn.XLOOKUP(C146,[1]SPACE_GSS_3!$G:$G,[1]SPACE_GSS_3!$AP:$AP)</f>
        <v>3</v>
      </c>
      <c r="AL146">
        <f>_xlfn.XLOOKUP(C146,[1]SPACE_GSS_3!$G:$G,[1]SPACE_GSS_3!$BM:$BM)</f>
        <v>23.8</v>
      </c>
    </row>
    <row r="147" spans="1:38" x14ac:dyDescent="0.25">
      <c r="A147">
        <v>215</v>
      </c>
      <c r="B147">
        <v>291</v>
      </c>
      <c r="C147">
        <v>292</v>
      </c>
      <c r="D147">
        <v>0</v>
      </c>
      <c r="E147">
        <v>1</v>
      </c>
      <c r="F147">
        <v>1</v>
      </c>
      <c r="G147">
        <v>1</v>
      </c>
      <c r="H147">
        <v>13.1</v>
      </c>
      <c r="I147" t="s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36</v>
      </c>
      <c r="P147">
        <v>170.39999</v>
      </c>
      <c r="Q147">
        <v>1.7039998999999999</v>
      </c>
      <c r="R147">
        <v>2.9036156590000002</v>
      </c>
      <c r="S147">
        <v>58.200001</v>
      </c>
      <c r="T147">
        <v>20.043975450000001</v>
      </c>
      <c r="U147">
        <v>0</v>
      </c>
      <c r="V147" t="s">
        <v>36</v>
      </c>
      <c r="W147">
        <v>14.9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5</v>
      </c>
      <c r="AE147">
        <v>176.5</v>
      </c>
      <c r="AF147">
        <v>1.7649999999999999</v>
      </c>
      <c r="AG147">
        <v>3.1152250000000001</v>
      </c>
      <c r="AH147">
        <v>64.900002000000001</v>
      </c>
      <c r="AI147">
        <v>20.83316679</v>
      </c>
      <c r="AJ147">
        <v>0</v>
      </c>
      <c r="AK147">
        <f>_xlfn.XLOOKUP(C147,[1]SPACE_GSS_3!$G:$G,[1]SPACE_GSS_3!$AP:$AP)</f>
        <v>5</v>
      </c>
      <c r="AL147">
        <f>_xlfn.XLOOKUP(C147,[1]SPACE_GSS_3!$G:$G,[1]SPACE_GSS_3!$BM:$BM)</f>
        <v>11.1</v>
      </c>
    </row>
    <row r="148" spans="1:38" x14ac:dyDescent="0.25">
      <c r="A148">
        <v>212</v>
      </c>
      <c r="B148">
        <v>293</v>
      </c>
      <c r="C148">
        <v>294</v>
      </c>
      <c r="D148">
        <v>0</v>
      </c>
      <c r="E148">
        <v>1</v>
      </c>
      <c r="F148">
        <v>0</v>
      </c>
      <c r="G148">
        <v>0</v>
      </c>
      <c r="H148" t="s">
        <v>36</v>
      </c>
      <c r="I148" t="s">
        <v>36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 t="s">
        <v>36</v>
      </c>
      <c r="AF148" t="s">
        <v>36</v>
      </c>
      <c r="AG148" t="s">
        <v>36</v>
      </c>
      <c r="AH148" t="s">
        <v>36</v>
      </c>
      <c r="AI148" t="s">
        <v>36</v>
      </c>
      <c r="AJ148" t="s">
        <v>36</v>
      </c>
      <c r="AK148">
        <f>_xlfn.XLOOKUP(C148,[1]SPACE_GSS_3!$G:$G,[1]SPACE_GSS_3!$AP:$AP)</f>
        <v>0</v>
      </c>
      <c r="AL148">
        <f>_xlfn.XLOOKUP(C148,[1]SPACE_GSS_3!$G:$G,[1]SPACE_GSS_3!$BM:$BM)</f>
        <v>6.95</v>
      </c>
    </row>
    <row r="149" spans="1:38" x14ac:dyDescent="0.25">
      <c r="A149">
        <v>216</v>
      </c>
      <c r="B149">
        <v>295</v>
      </c>
      <c r="C149">
        <v>296</v>
      </c>
      <c r="D149">
        <v>0</v>
      </c>
      <c r="E149">
        <v>1</v>
      </c>
      <c r="F149">
        <v>1</v>
      </c>
      <c r="G149">
        <v>1</v>
      </c>
      <c r="H149">
        <v>13.3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4</v>
      </c>
      <c r="P149">
        <v>157.5</v>
      </c>
      <c r="Q149">
        <v>1.575</v>
      </c>
      <c r="R149">
        <v>2.4806249999999999</v>
      </c>
      <c r="S149">
        <v>43.5</v>
      </c>
      <c r="T149">
        <v>17.53590325</v>
      </c>
      <c r="U149">
        <v>0.1</v>
      </c>
      <c r="V149" t="s">
        <v>36</v>
      </c>
      <c r="W149">
        <v>14.1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4</v>
      </c>
      <c r="AE149">
        <v>159.69999999999999</v>
      </c>
      <c r="AF149">
        <v>1.597</v>
      </c>
      <c r="AG149">
        <v>2.5504090000000001</v>
      </c>
      <c r="AH149">
        <v>46.900002000000001</v>
      </c>
      <c r="AI149">
        <v>18.389208159999999</v>
      </c>
      <c r="AJ149">
        <v>0.1</v>
      </c>
      <c r="AK149">
        <f>_xlfn.XLOOKUP(C149,[1]SPACE_GSS_3!$G:$G,[1]SPACE_GSS_3!$AP:$AP)</f>
        <v>4</v>
      </c>
      <c r="AL149">
        <f>_xlfn.XLOOKUP(C149,[1]SPACE_GSS_3!$G:$G,[1]SPACE_GSS_3!$BM:$BM)</f>
        <v>8.6999999999999993</v>
      </c>
    </row>
    <row r="150" spans="1:38" x14ac:dyDescent="0.25">
      <c r="A150">
        <v>214</v>
      </c>
      <c r="B150">
        <v>297</v>
      </c>
      <c r="C150">
        <v>298</v>
      </c>
      <c r="D150">
        <v>0</v>
      </c>
      <c r="E150">
        <v>1</v>
      </c>
      <c r="F150">
        <v>1</v>
      </c>
      <c r="G150">
        <v>1</v>
      </c>
      <c r="H150">
        <v>13.4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4</v>
      </c>
      <c r="P150">
        <v>167.8</v>
      </c>
      <c r="Q150">
        <v>1.6779999999999999</v>
      </c>
      <c r="R150">
        <v>2.8156840000000001</v>
      </c>
      <c r="S150">
        <v>54.700001</v>
      </c>
      <c r="T150">
        <v>19.42689627</v>
      </c>
      <c r="U150">
        <v>-0.1</v>
      </c>
      <c r="V150" t="s">
        <v>36</v>
      </c>
      <c r="W150">
        <v>14.4</v>
      </c>
      <c r="X150" t="s">
        <v>36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36</v>
      </c>
      <c r="AE150">
        <v>170.2</v>
      </c>
      <c r="AF150">
        <v>1.702</v>
      </c>
      <c r="AG150">
        <v>2.8968039999999999</v>
      </c>
      <c r="AH150">
        <v>60</v>
      </c>
      <c r="AI150">
        <v>20.712481759999999</v>
      </c>
      <c r="AJ150">
        <v>-0.1</v>
      </c>
      <c r="AK150">
        <f>_xlfn.XLOOKUP(C150,[1]SPACE_GSS_3!$G:$G,[1]SPACE_GSS_3!$AP:$AP)</f>
        <v>2</v>
      </c>
      <c r="AL150">
        <f>_xlfn.XLOOKUP(C150,[1]SPACE_GSS_3!$G:$G,[1]SPACE_GSS_3!$BM:$BM)</f>
        <v>11.8</v>
      </c>
    </row>
    <row r="151" spans="1:38" x14ac:dyDescent="0.25">
      <c r="A151">
        <v>205</v>
      </c>
      <c r="B151">
        <v>299</v>
      </c>
      <c r="C151">
        <v>300</v>
      </c>
      <c r="D151">
        <v>0</v>
      </c>
      <c r="E151">
        <v>1</v>
      </c>
      <c r="F151">
        <v>1</v>
      </c>
      <c r="G151">
        <v>1</v>
      </c>
      <c r="H151">
        <v>13.3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4</v>
      </c>
      <c r="P151">
        <v>164.5</v>
      </c>
      <c r="Q151">
        <v>1.645</v>
      </c>
      <c r="R151">
        <v>2.7060249999999999</v>
      </c>
      <c r="S151">
        <v>63.700001</v>
      </c>
      <c r="T151">
        <v>23.540063750000002</v>
      </c>
      <c r="U151">
        <v>-0.1</v>
      </c>
      <c r="V151" t="s">
        <v>36</v>
      </c>
      <c r="W151">
        <v>14.2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4</v>
      </c>
      <c r="AE151">
        <v>166.39999</v>
      </c>
      <c r="AF151">
        <v>1.6639999000000001</v>
      </c>
      <c r="AG151">
        <v>2.7688956669999998</v>
      </c>
      <c r="AH151">
        <v>71.900002000000001</v>
      </c>
      <c r="AI151">
        <v>25.967031859999999</v>
      </c>
      <c r="AJ151">
        <v>0.1</v>
      </c>
      <c r="AK151">
        <f>_xlfn.XLOOKUP(C151,[1]SPACE_GSS_3!$G:$G,[1]SPACE_GSS_3!$AP:$AP)</f>
        <v>0</v>
      </c>
      <c r="AL151">
        <f>_xlfn.XLOOKUP(C151,[1]SPACE_GSS_3!$G:$G,[1]SPACE_GSS_3!$BM:$BM)</f>
        <v>13.5</v>
      </c>
    </row>
    <row r="152" spans="1:38" x14ac:dyDescent="0.25">
      <c r="A152">
        <v>217</v>
      </c>
      <c r="B152">
        <v>301</v>
      </c>
      <c r="C152">
        <v>302</v>
      </c>
      <c r="D152">
        <v>0</v>
      </c>
      <c r="E152">
        <v>1</v>
      </c>
      <c r="F152">
        <v>1</v>
      </c>
      <c r="G152">
        <v>1</v>
      </c>
      <c r="H152">
        <v>13.3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4</v>
      </c>
      <c r="P152">
        <v>170</v>
      </c>
      <c r="Q152">
        <v>1.7</v>
      </c>
      <c r="R152">
        <v>2.89</v>
      </c>
      <c r="S152">
        <v>62.400002000000001</v>
      </c>
      <c r="T152">
        <v>21.59169619</v>
      </c>
      <c r="U152">
        <v>0</v>
      </c>
      <c r="V152" t="s">
        <v>36</v>
      </c>
      <c r="W152">
        <v>14.1</v>
      </c>
      <c r="X152" t="s">
        <v>36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36</v>
      </c>
      <c r="AE152">
        <v>172.2</v>
      </c>
      <c r="AF152">
        <v>1.722</v>
      </c>
      <c r="AG152">
        <v>2.965284</v>
      </c>
      <c r="AH152">
        <v>63.599997999999999</v>
      </c>
      <c r="AI152">
        <v>21.448197879999999</v>
      </c>
      <c r="AJ152">
        <v>-0.1</v>
      </c>
      <c r="AK152">
        <f>_xlfn.XLOOKUP(C152,[1]SPACE_GSS_3!$G:$G,[1]SPACE_GSS_3!$AP:$AP)</f>
        <v>4</v>
      </c>
      <c r="AL152">
        <f>_xlfn.XLOOKUP(C152,[1]SPACE_GSS_3!$G:$G,[1]SPACE_GSS_3!$BM:$BM)</f>
        <v>13.7</v>
      </c>
    </row>
    <row r="153" spans="1:38" x14ac:dyDescent="0.25">
      <c r="A153">
        <v>222</v>
      </c>
      <c r="B153">
        <v>303</v>
      </c>
      <c r="C153">
        <v>304</v>
      </c>
      <c r="D153">
        <v>0</v>
      </c>
      <c r="E153">
        <v>1</v>
      </c>
      <c r="F153">
        <v>1</v>
      </c>
      <c r="G153">
        <v>1</v>
      </c>
      <c r="H153">
        <v>12.8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4</v>
      </c>
      <c r="P153">
        <v>153.5</v>
      </c>
      <c r="Q153">
        <v>1.5349999999999999</v>
      </c>
      <c r="R153">
        <v>2.3562249999999998</v>
      </c>
      <c r="S153">
        <v>55.200001</v>
      </c>
      <c r="T153">
        <v>23.42730469</v>
      </c>
      <c r="U153">
        <v>0</v>
      </c>
      <c r="V153" t="s">
        <v>36</v>
      </c>
      <c r="W153">
        <v>14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5</v>
      </c>
      <c r="AE153">
        <v>156.69999999999999</v>
      </c>
      <c r="AF153">
        <v>1.5669999999999999</v>
      </c>
      <c r="AG153">
        <v>2.455489</v>
      </c>
      <c r="AH153">
        <v>58.700001</v>
      </c>
      <c r="AI153">
        <v>23.90562572</v>
      </c>
      <c r="AJ153">
        <v>0</v>
      </c>
      <c r="AK153">
        <f>_xlfn.XLOOKUP(C153,[1]SPACE_GSS_3!$G:$G,[1]SPACE_GSS_3!$AP:$AP)</f>
        <v>0</v>
      </c>
      <c r="AL153">
        <f>_xlfn.XLOOKUP(C153,[1]SPACE_GSS_3!$G:$G,[1]SPACE_GSS_3!$BM:$BM)</f>
        <v>13.3</v>
      </c>
    </row>
    <row r="154" spans="1:38" x14ac:dyDescent="0.25">
      <c r="A154">
        <v>223</v>
      </c>
      <c r="B154">
        <v>305</v>
      </c>
      <c r="C154">
        <v>306</v>
      </c>
      <c r="D154">
        <v>0</v>
      </c>
      <c r="E154">
        <v>1</v>
      </c>
      <c r="F154">
        <v>1</v>
      </c>
      <c r="G154">
        <v>1</v>
      </c>
      <c r="H154">
        <v>13.6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5</v>
      </c>
      <c r="P154">
        <v>169.8</v>
      </c>
      <c r="Q154">
        <v>1.698</v>
      </c>
      <c r="R154">
        <v>2.8832040000000001</v>
      </c>
      <c r="S154">
        <v>55.700001</v>
      </c>
      <c r="T154">
        <v>19.318785980000001</v>
      </c>
      <c r="U154">
        <v>0</v>
      </c>
      <c r="V154" t="s">
        <v>36</v>
      </c>
      <c r="W154">
        <v>14.4</v>
      </c>
      <c r="X154">
        <v>2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5</v>
      </c>
      <c r="AE154">
        <v>170.10001</v>
      </c>
      <c r="AF154">
        <v>1.7010000999999999</v>
      </c>
      <c r="AG154">
        <v>2.89340134</v>
      </c>
      <c r="AH154">
        <v>54.599997999999999</v>
      </c>
      <c r="AI154">
        <v>18.870523510000002</v>
      </c>
      <c r="AJ154">
        <v>0</v>
      </c>
      <c r="AK154">
        <f>_xlfn.XLOOKUP(C154,[1]SPACE_GSS_3!$G:$G,[1]SPACE_GSS_3!$AP:$AP)</f>
        <v>0</v>
      </c>
      <c r="AL154">
        <f>_xlfn.XLOOKUP(C154,[1]SPACE_GSS_3!$G:$G,[1]SPACE_GSS_3!$BM:$BM)</f>
        <v>13.35</v>
      </c>
    </row>
    <row r="155" spans="1:38" x14ac:dyDescent="0.25">
      <c r="A155">
        <v>229</v>
      </c>
      <c r="B155">
        <v>307</v>
      </c>
      <c r="C155">
        <v>308</v>
      </c>
      <c r="D155">
        <v>0</v>
      </c>
      <c r="E155">
        <v>1</v>
      </c>
      <c r="F155">
        <v>1</v>
      </c>
      <c r="G155">
        <v>1</v>
      </c>
      <c r="H155">
        <v>13.5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4</v>
      </c>
      <c r="P155">
        <v>176</v>
      </c>
      <c r="Q155">
        <v>1.76</v>
      </c>
      <c r="R155">
        <v>3.0975999999999999</v>
      </c>
      <c r="S155">
        <v>58.599997999999999</v>
      </c>
      <c r="T155">
        <v>18.917871259999998</v>
      </c>
      <c r="U155">
        <v>0</v>
      </c>
      <c r="V155" t="s">
        <v>36</v>
      </c>
      <c r="W155">
        <v>14.2</v>
      </c>
      <c r="X155">
        <v>2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4</v>
      </c>
      <c r="AE155">
        <v>177.5</v>
      </c>
      <c r="AF155">
        <v>1.7749999999999999</v>
      </c>
      <c r="AG155">
        <v>3.1506249999999998</v>
      </c>
      <c r="AH155">
        <v>64.199996999999996</v>
      </c>
      <c r="AI155">
        <v>20.376908390000001</v>
      </c>
      <c r="AJ155">
        <v>0</v>
      </c>
      <c r="AK155">
        <f>_xlfn.XLOOKUP(C155,[1]SPACE_GSS_3!$G:$G,[1]SPACE_GSS_3!$AP:$AP)</f>
        <v>0</v>
      </c>
      <c r="AL155">
        <f>_xlfn.XLOOKUP(C155,[1]SPACE_GSS_3!$G:$G,[1]SPACE_GSS_3!$BM:$BM)</f>
        <v>17.649999999999999</v>
      </c>
    </row>
    <row r="156" spans="1:38" x14ac:dyDescent="0.25">
      <c r="A156">
        <v>224</v>
      </c>
      <c r="B156">
        <v>309</v>
      </c>
      <c r="C156">
        <v>310</v>
      </c>
      <c r="D156">
        <v>0</v>
      </c>
      <c r="E156">
        <v>1</v>
      </c>
      <c r="F156">
        <v>1</v>
      </c>
      <c r="G156">
        <v>1</v>
      </c>
      <c r="H156">
        <v>13.2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5</v>
      </c>
      <c r="P156">
        <v>172.2</v>
      </c>
      <c r="Q156">
        <v>1.722</v>
      </c>
      <c r="R156">
        <v>2.965284</v>
      </c>
      <c r="S156">
        <v>58.900002000000001</v>
      </c>
      <c r="T156">
        <v>19.863190840000001</v>
      </c>
      <c r="U156">
        <v>0</v>
      </c>
      <c r="V156" t="s">
        <v>36</v>
      </c>
      <c r="W156">
        <v>14.4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5</v>
      </c>
      <c r="AE156">
        <v>174.5</v>
      </c>
      <c r="AF156">
        <v>1.7450000000000001</v>
      </c>
      <c r="AG156">
        <v>3.0450249999999999</v>
      </c>
      <c r="AH156">
        <v>63.200001</v>
      </c>
      <c r="AI156">
        <v>20.755166540000001</v>
      </c>
      <c r="AJ156">
        <v>0</v>
      </c>
      <c r="AK156">
        <f>_xlfn.XLOOKUP(C156,[1]SPACE_GSS_3!$G:$G,[1]SPACE_GSS_3!$AP:$AP)</f>
        <v>4</v>
      </c>
      <c r="AL156">
        <f>_xlfn.XLOOKUP(C156,[1]SPACE_GSS_3!$G:$G,[1]SPACE_GSS_3!$BM:$BM)</f>
        <v>14.3</v>
      </c>
    </row>
    <row r="157" spans="1:38" x14ac:dyDescent="0.25">
      <c r="A157">
        <v>226</v>
      </c>
      <c r="B157">
        <v>311</v>
      </c>
      <c r="C157">
        <v>312</v>
      </c>
      <c r="D157">
        <v>0</v>
      </c>
      <c r="E157">
        <v>1</v>
      </c>
      <c r="F157">
        <v>1</v>
      </c>
      <c r="G157">
        <v>1</v>
      </c>
      <c r="H157">
        <v>13.5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5</v>
      </c>
      <c r="P157">
        <v>164.5</v>
      </c>
      <c r="Q157">
        <v>1.645</v>
      </c>
      <c r="R157">
        <v>2.7060249999999999</v>
      </c>
      <c r="S157">
        <v>47.099997999999999</v>
      </c>
      <c r="T157">
        <v>17.405603419999998</v>
      </c>
      <c r="U157">
        <v>0</v>
      </c>
      <c r="V157" t="s">
        <v>36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4</v>
      </c>
      <c r="AE157">
        <v>166.5</v>
      </c>
      <c r="AF157">
        <v>1.665</v>
      </c>
      <c r="AG157">
        <v>2.7722250000000002</v>
      </c>
      <c r="AH157">
        <v>53</v>
      </c>
      <c r="AI157">
        <v>19.118217319999999</v>
      </c>
      <c r="AJ157">
        <v>0</v>
      </c>
      <c r="AK157">
        <f>_xlfn.XLOOKUP(C157,[1]SPACE_GSS_3!$G:$G,[1]SPACE_GSS_3!$AP:$AP)</f>
        <v>3</v>
      </c>
      <c r="AL157">
        <f>_xlfn.XLOOKUP(C157,[1]SPACE_GSS_3!$G:$G,[1]SPACE_GSS_3!$BM:$BM)</f>
        <v>8.0500000000000007</v>
      </c>
    </row>
    <row r="158" spans="1:38" x14ac:dyDescent="0.25">
      <c r="A158">
        <v>230</v>
      </c>
      <c r="B158">
        <v>313</v>
      </c>
      <c r="C158">
        <v>314</v>
      </c>
      <c r="D158">
        <v>0</v>
      </c>
      <c r="E158">
        <v>1</v>
      </c>
      <c r="F158">
        <v>0</v>
      </c>
      <c r="G158">
        <v>0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  <c r="AH158" t="s">
        <v>36</v>
      </c>
      <c r="AI158" t="s">
        <v>36</v>
      </c>
      <c r="AJ158" t="s">
        <v>36</v>
      </c>
      <c r="AK158">
        <f>_xlfn.XLOOKUP(C158,[1]SPACE_GSS_3!$G:$G,[1]SPACE_GSS_3!$AP:$AP)</f>
        <v>0</v>
      </c>
      <c r="AL158">
        <f>_xlfn.XLOOKUP(C158,[1]SPACE_GSS_3!$G:$G,[1]SPACE_GSS_3!$BM:$BM)</f>
        <v>14.5</v>
      </c>
    </row>
    <row r="159" spans="1:38" x14ac:dyDescent="0.25">
      <c r="A159">
        <v>231</v>
      </c>
      <c r="B159">
        <v>315</v>
      </c>
      <c r="C159">
        <v>316</v>
      </c>
      <c r="D159">
        <v>0</v>
      </c>
      <c r="E159">
        <v>1</v>
      </c>
      <c r="F159">
        <v>1</v>
      </c>
      <c r="G159">
        <v>1</v>
      </c>
      <c r="H159">
        <v>13.5</v>
      </c>
      <c r="I159" t="s">
        <v>36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36</v>
      </c>
      <c r="P159">
        <v>158.39999</v>
      </c>
      <c r="Q159">
        <v>1.5839999</v>
      </c>
      <c r="R159">
        <v>2.5090556830000001</v>
      </c>
      <c r="S159">
        <v>68.800003000000004</v>
      </c>
      <c r="T159">
        <v>27.420676019999998</v>
      </c>
      <c r="U159">
        <v>0</v>
      </c>
      <c r="V159" t="s">
        <v>36</v>
      </c>
      <c r="W159">
        <v>14.6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5</v>
      </c>
      <c r="AE159">
        <v>160.39999</v>
      </c>
      <c r="AF159">
        <v>1.6039999</v>
      </c>
      <c r="AG159">
        <v>2.5728156790000001</v>
      </c>
      <c r="AH159">
        <v>76.400002000000001</v>
      </c>
      <c r="AI159">
        <v>29.695093440000001</v>
      </c>
      <c r="AJ159">
        <v>0</v>
      </c>
      <c r="AK159">
        <f>_xlfn.XLOOKUP(C159,[1]SPACE_GSS_3!$G:$G,[1]SPACE_GSS_3!$AP:$AP)</f>
        <v>1</v>
      </c>
      <c r="AL159">
        <f>_xlfn.XLOOKUP(C159,[1]SPACE_GSS_3!$G:$G,[1]SPACE_GSS_3!$BM:$BM)</f>
        <v>13.15</v>
      </c>
    </row>
    <row r="160" spans="1:38" x14ac:dyDescent="0.25">
      <c r="A160">
        <v>225</v>
      </c>
      <c r="B160">
        <v>317</v>
      </c>
      <c r="C160">
        <v>318</v>
      </c>
      <c r="D160">
        <v>0</v>
      </c>
      <c r="E160">
        <v>1</v>
      </c>
      <c r="F160">
        <v>1</v>
      </c>
      <c r="G160">
        <v>0</v>
      </c>
      <c r="H160">
        <v>14.8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4</v>
      </c>
      <c r="P160">
        <v>165.60001</v>
      </c>
      <c r="Q160">
        <v>1.6560001</v>
      </c>
      <c r="R160">
        <v>2.7423363310000002</v>
      </c>
      <c r="S160">
        <v>49.099997999999999</v>
      </c>
      <c r="T160">
        <v>17.904440619999999</v>
      </c>
      <c r="U160">
        <v>0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  <c r="AI160" t="s">
        <v>36</v>
      </c>
      <c r="AJ160" t="s">
        <v>36</v>
      </c>
      <c r="AK160">
        <f>_xlfn.XLOOKUP(C160,[1]SPACE_GSS_3!$G:$G,[1]SPACE_GSS_3!$AP:$AP)</f>
        <v>0</v>
      </c>
      <c r="AL160">
        <f>_xlfn.XLOOKUP(C160,[1]SPACE_GSS_3!$G:$G,[1]SPACE_GSS_3!$BM:$BM)</f>
        <v>13.9</v>
      </c>
    </row>
    <row r="161" spans="1:38" x14ac:dyDescent="0.25">
      <c r="A161">
        <v>242</v>
      </c>
      <c r="B161">
        <v>319</v>
      </c>
      <c r="C161">
        <v>320</v>
      </c>
      <c r="D161">
        <v>0</v>
      </c>
      <c r="E161">
        <v>1</v>
      </c>
      <c r="F161">
        <v>1</v>
      </c>
      <c r="G161">
        <v>1</v>
      </c>
      <c r="H161">
        <v>12.4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5</v>
      </c>
      <c r="P161">
        <v>161.60001</v>
      </c>
      <c r="Q161">
        <v>1.6160000999999999</v>
      </c>
      <c r="R161">
        <v>2.6114563230000001</v>
      </c>
      <c r="S161">
        <v>61.099997999999999</v>
      </c>
      <c r="T161">
        <v>23.396905960000002</v>
      </c>
      <c r="U161">
        <v>-0.1</v>
      </c>
      <c r="V161" t="s">
        <v>36</v>
      </c>
      <c r="W161">
        <v>13.2</v>
      </c>
      <c r="X161">
        <v>2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5</v>
      </c>
      <c r="AE161">
        <v>0</v>
      </c>
      <c r="AF161">
        <v>0</v>
      </c>
      <c r="AG161">
        <v>0</v>
      </c>
      <c r="AH161">
        <v>0</v>
      </c>
      <c r="AI161" t="e">
        <v>#DIV/0!</v>
      </c>
      <c r="AJ161" t="s">
        <v>36</v>
      </c>
      <c r="AK161">
        <f>_xlfn.XLOOKUP(C161,[1]SPACE_GSS_3!$G:$G,[1]SPACE_GSS_3!$AP:$AP)</f>
        <v>2</v>
      </c>
      <c r="AL161">
        <f>_xlfn.XLOOKUP(C161,[1]SPACE_GSS_3!$G:$G,[1]SPACE_GSS_3!$BM:$BM)</f>
        <v>13.25</v>
      </c>
    </row>
    <row r="162" spans="1:38" x14ac:dyDescent="0.25">
      <c r="A162">
        <v>235</v>
      </c>
      <c r="B162">
        <v>321</v>
      </c>
      <c r="C162">
        <v>322</v>
      </c>
      <c r="D162">
        <v>0</v>
      </c>
      <c r="E162">
        <v>1</v>
      </c>
      <c r="F162">
        <v>1</v>
      </c>
      <c r="G162">
        <v>1</v>
      </c>
      <c r="H162">
        <v>14.1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5</v>
      </c>
      <c r="P162">
        <v>154.39999</v>
      </c>
      <c r="Q162">
        <v>1.5439999</v>
      </c>
      <c r="R162">
        <v>2.383935691</v>
      </c>
      <c r="S162">
        <v>53.200001</v>
      </c>
      <c r="T162">
        <v>22.316038639999999</v>
      </c>
      <c r="U162">
        <v>0</v>
      </c>
      <c r="V162" t="s">
        <v>36</v>
      </c>
      <c r="W162">
        <v>14.8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5</v>
      </c>
      <c r="AE162">
        <v>155.30000000000001</v>
      </c>
      <c r="AF162">
        <v>1.5529999999999999</v>
      </c>
      <c r="AG162">
        <v>2.4118089999999999</v>
      </c>
      <c r="AH162">
        <v>55.200001</v>
      </c>
      <c r="AI162">
        <v>22.887384950000001</v>
      </c>
      <c r="AJ162">
        <v>0</v>
      </c>
      <c r="AK162">
        <f>_xlfn.XLOOKUP(C162,[1]SPACE_GSS_3!$G:$G,[1]SPACE_GSS_3!$AP:$AP)</f>
        <v>5</v>
      </c>
      <c r="AL162">
        <f>_xlfn.XLOOKUP(C162,[1]SPACE_GSS_3!$G:$G,[1]SPACE_GSS_3!$BM:$BM)</f>
        <v>21.4</v>
      </c>
    </row>
    <row r="163" spans="1:38" x14ac:dyDescent="0.25">
      <c r="A163">
        <v>240</v>
      </c>
      <c r="B163">
        <v>323</v>
      </c>
      <c r="C163">
        <v>324</v>
      </c>
      <c r="D163">
        <v>0</v>
      </c>
      <c r="E163">
        <v>1</v>
      </c>
      <c r="F163">
        <v>0</v>
      </c>
      <c r="G163">
        <v>1</v>
      </c>
      <c r="H163" t="s">
        <v>36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>
        <v>15.4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5</v>
      </c>
      <c r="AE163">
        <v>165.5</v>
      </c>
      <c r="AF163">
        <v>1.655</v>
      </c>
      <c r="AG163">
        <v>2.7390249999999998</v>
      </c>
      <c r="AH163">
        <v>57.299999</v>
      </c>
      <c r="AI163">
        <v>20.919852500000001</v>
      </c>
      <c r="AJ163">
        <v>-0.1</v>
      </c>
      <c r="AK163">
        <f>_xlfn.XLOOKUP(C163,[1]SPACE_GSS_3!$G:$G,[1]SPACE_GSS_3!$AP:$AP)</f>
        <v>4</v>
      </c>
      <c r="AL163">
        <f>_xlfn.XLOOKUP(C163,[1]SPACE_GSS_3!$G:$G,[1]SPACE_GSS_3!$BM:$BM)</f>
        <v>16.55</v>
      </c>
    </row>
    <row r="164" spans="1:38" x14ac:dyDescent="0.25">
      <c r="A164">
        <v>234</v>
      </c>
      <c r="B164">
        <v>325</v>
      </c>
      <c r="C164">
        <v>326</v>
      </c>
      <c r="D164">
        <v>0</v>
      </c>
      <c r="E164">
        <v>1</v>
      </c>
      <c r="F164">
        <v>1</v>
      </c>
      <c r="G164">
        <v>1</v>
      </c>
      <c r="H164">
        <v>13.7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2</v>
      </c>
      <c r="P164">
        <v>159.69999999999999</v>
      </c>
      <c r="Q164">
        <v>1.597</v>
      </c>
      <c r="R164">
        <v>2.5504090000000001</v>
      </c>
      <c r="S164">
        <v>50.599997999999999</v>
      </c>
      <c r="T164">
        <v>19.839954299999999</v>
      </c>
      <c r="U164">
        <v>0</v>
      </c>
      <c r="V164" t="s">
        <v>36</v>
      </c>
      <c r="W164">
        <v>14.7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5</v>
      </c>
      <c r="AE164">
        <v>163.39999</v>
      </c>
      <c r="AF164">
        <v>1.6339999000000001</v>
      </c>
      <c r="AG164">
        <v>2.669955673</v>
      </c>
      <c r="AH164">
        <v>53.799999</v>
      </c>
      <c r="AI164">
        <v>20.150146889999998</v>
      </c>
      <c r="AJ164">
        <v>0</v>
      </c>
      <c r="AK164">
        <f>_xlfn.XLOOKUP(C164,[1]SPACE_GSS_3!$G:$G,[1]SPACE_GSS_3!$AP:$AP)</f>
        <v>3</v>
      </c>
      <c r="AL164">
        <f>_xlfn.XLOOKUP(C164,[1]SPACE_GSS_3!$G:$G,[1]SPACE_GSS_3!$BM:$BM)</f>
        <v>15.7</v>
      </c>
    </row>
    <row r="165" spans="1:38" x14ac:dyDescent="0.25">
      <c r="A165">
        <v>236</v>
      </c>
      <c r="B165">
        <v>327</v>
      </c>
      <c r="C165">
        <v>328</v>
      </c>
      <c r="D165">
        <v>0</v>
      </c>
      <c r="E165">
        <v>1</v>
      </c>
      <c r="F165">
        <v>1</v>
      </c>
      <c r="G165">
        <v>1</v>
      </c>
      <c r="H165">
        <v>12.6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4</v>
      </c>
      <c r="P165">
        <v>162.5</v>
      </c>
      <c r="Q165">
        <v>1.625</v>
      </c>
      <c r="R165">
        <v>2.640625</v>
      </c>
      <c r="S165">
        <v>55.5</v>
      </c>
      <c r="T165">
        <v>21.017751480000001</v>
      </c>
      <c r="U165">
        <v>0</v>
      </c>
      <c r="V165" t="s">
        <v>36</v>
      </c>
      <c r="W165">
        <v>13.8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4</v>
      </c>
      <c r="AE165">
        <v>165.10001</v>
      </c>
      <c r="AF165">
        <v>1.6510001000000001</v>
      </c>
      <c r="AG165">
        <v>2.7258013299999999</v>
      </c>
      <c r="AH165">
        <v>57.5</v>
      </c>
      <c r="AI165">
        <v>21.094714190000001</v>
      </c>
      <c r="AJ165">
        <v>0</v>
      </c>
      <c r="AK165">
        <f>_xlfn.XLOOKUP(C165,[1]SPACE_GSS_3!$G:$G,[1]SPACE_GSS_3!$AP:$AP)</f>
        <v>0</v>
      </c>
      <c r="AL165">
        <f>_xlfn.XLOOKUP(C165,[1]SPACE_GSS_3!$G:$G,[1]SPACE_GSS_3!$BM:$BM)</f>
        <v>23.9</v>
      </c>
    </row>
    <row r="166" spans="1:38" x14ac:dyDescent="0.25">
      <c r="A166">
        <v>244</v>
      </c>
      <c r="B166">
        <v>329</v>
      </c>
      <c r="C166">
        <v>330</v>
      </c>
      <c r="D166">
        <v>0</v>
      </c>
      <c r="E166">
        <v>1</v>
      </c>
      <c r="F166">
        <v>1</v>
      </c>
      <c r="G166">
        <v>1</v>
      </c>
      <c r="H166">
        <v>14.5</v>
      </c>
      <c r="I166">
        <v>2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166.5</v>
      </c>
      <c r="Q166">
        <v>1.665</v>
      </c>
      <c r="R166">
        <v>2.7722250000000002</v>
      </c>
      <c r="S166">
        <v>52.599997999999999</v>
      </c>
      <c r="T166">
        <v>18.97392816</v>
      </c>
      <c r="U166">
        <v>0</v>
      </c>
      <c r="V166" t="s">
        <v>36</v>
      </c>
      <c r="W166">
        <v>15.6</v>
      </c>
      <c r="X166">
        <v>2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5</v>
      </c>
      <c r="AE166">
        <v>168.2</v>
      </c>
      <c r="AF166">
        <v>1.6819999999999999</v>
      </c>
      <c r="AG166">
        <v>2.8291240000000002</v>
      </c>
      <c r="AH166">
        <v>56.700001</v>
      </c>
      <c r="AI166">
        <v>20.041539709999999</v>
      </c>
      <c r="AJ166">
        <v>0</v>
      </c>
      <c r="AK166">
        <f>_xlfn.XLOOKUP(C166,[1]SPACE_GSS_3!$G:$G,[1]SPACE_GSS_3!$AP:$AP)</f>
        <v>1</v>
      </c>
      <c r="AL166">
        <f>_xlfn.XLOOKUP(C166,[1]SPACE_GSS_3!$G:$G,[1]SPACE_GSS_3!$BM:$BM)</f>
        <v>17.3</v>
      </c>
    </row>
    <row r="167" spans="1:38" x14ac:dyDescent="0.25">
      <c r="A167">
        <v>245</v>
      </c>
      <c r="B167">
        <v>331</v>
      </c>
      <c r="C167">
        <v>332</v>
      </c>
      <c r="D167">
        <v>0</v>
      </c>
      <c r="E167">
        <v>1</v>
      </c>
      <c r="F167">
        <v>1</v>
      </c>
      <c r="G167">
        <v>1</v>
      </c>
      <c r="H167">
        <v>14.5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5</v>
      </c>
      <c r="P167">
        <v>162</v>
      </c>
      <c r="Q167">
        <v>1.62</v>
      </c>
      <c r="R167">
        <v>2.6244000000000001</v>
      </c>
      <c r="S167">
        <v>54.299999</v>
      </c>
      <c r="T167">
        <v>20.69044315</v>
      </c>
      <c r="U167">
        <v>0</v>
      </c>
      <c r="V167" t="s">
        <v>36</v>
      </c>
      <c r="W167">
        <v>15.6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5</v>
      </c>
      <c r="AE167">
        <v>163.89999</v>
      </c>
      <c r="AF167">
        <v>1.6389999</v>
      </c>
      <c r="AG167">
        <v>2.6863206719999999</v>
      </c>
      <c r="AH167">
        <v>56.400002000000001</v>
      </c>
      <c r="AI167">
        <v>20.995260389999999</v>
      </c>
      <c r="AJ167">
        <v>0</v>
      </c>
      <c r="AK167">
        <f>_xlfn.XLOOKUP(C167,[1]SPACE_GSS_3!$G:$G,[1]SPACE_GSS_3!$AP:$AP)</f>
        <v>5</v>
      </c>
      <c r="AL167">
        <f>_xlfn.XLOOKUP(C167,[1]SPACE_GSS_3!$G:$G,[1]SPACE_GSS_3!$BM:$BM)</f>
        <v>12.4</v>
      </c>
    </row>
    <row r="168" spans="1:38" x14ac:dyDescent="0.25">
      <c r="A168">
        <v>249</v>
      </c>
      <c r="B168">
        <v>333</v>
      </c>
      <c r="C168">
        <v>334</v>
      </c>
      <c r="D168">
        <v>0</v>
      </c>
      <c r="E168">
        <v>1</v>
      </c>
      <c r="F168">
        <v>1</v>
      </c>
      <c r="G168">
        <v>1</v>
      </c>
      <c r="H168">
        <v>14.3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>
        <v>159.10001</v>
      </c>
      <c r="Q168">
        <v>1.5910001</v>
      </c>
      <c r="R168">
        <v>2.531281318</v>
      </c>
      <c r="S168">
        <v>52</v>
      </c>
      <c r="T168">
        <v>20.542955710000001</v>
      </c>
      <c r="U168">
        <v>0</v>
      </c>
      <c r="V168" t="s">
        <v>36</v>
      </c>
      <c r="W168">
        <v>15.5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5</v>
      </c>
      <c r="AE168">
        <v>160.5</v>
      </c>
      <c r="AF168">
        <v>1.605</v>
      </c>
      <c r="AG168">
        <v>2.576025</v>
      </c>
      <c r="AH168">
        <v>55.400002000000001</v>
      </c>
      <c r="AI168">
        <v>21.506003239999998</v>
      </c>
      <c r="AJ168">
        <v>0</v>
      </c>
      <c r="AK168">
        <f>_xlfn.XLOOKUP(C168,[1]SPACE_GSS_3!$G:$G,[1]SPACE_GSS_3!$AP:$AP)</f>
        <v>8</v>
      </c>
      <c r="AL168">
        <f>_xlfn.XLOOKUP(C168,[1]SPACE_GSS_3!$G:$G,[1]SPACE_GSS_3!$BM:$BM)</f>
        <v>27</v>
      </c>
    </row>
    <row r="169" spans="1:38" x14ac:dyDescent="0.25">
      <c r="A169">
        <v>243</v>
      </c>
      <c r="B169">
        <v>335</v>
      </c>
      <c r="C169">
        <v>336</v>
      </c>
      <c r="D169">
        <v>0</v>
      </c>
      <c r="E169">
        <v>1</v>
      </c>
      <c r="F169">
        <v>0</v>
      </c>
      <c r="G169">
        <v>0</v>
      </c>
      <c r="H169" t="s">
        <v>36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  <c r="AH169" t="s">
        <v>36</v>
      </c>
      <c r="AI169" t="s">
        <v>36</v>
      </c>
      <c r="AJ169" t="s">
        <v>36</v>
      </c>
      <c r="AK169">
        <f>_xlfn.XLOOKUP(C169,[1]SPACE_GSS_3!$G:$G,[1]SPACE_GSS_3!$AP:$AP)</f>
        <v>4</v>
      </c>
      <c r="AL169" t="s">
        <v>36</v>
      </c>
    </row>
    <row r="170" spans="1:38" x14ac:dyDescent="0.25">
      <c r="A170">
        <v>248</v>
      </c>
      <c r="B170">
        <v>337</v>
      </c>
      <c r="C170">
        <v>338</v>
      </c>
      <c r="D170">
        <v>0</v>
      </c>
      <c r="E170">
        <v>1</v>
      </c>
      <c r="F170">
        <v>0</v>
      </c>
      <c r="G170">
        <v>0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  <c r="AI170" t="s">
        <v>36</v>
      </c>
      <c r="AJ170" t="s">
        <v>36</v>
      </c>
      <c r="AK170">
        <f>_xlfn.XLOOKUP(C170,[1]SPACE_GSS_3!$G:$G,[1]SPACE_GSS_3!$AP:$AP)</f>
        <v>3</v>
      </c>
      <c r="AL170">
        <f>_xlfn.XLOOKUP(C170,[1]SPACE_GSS_3!$G:$G,[1]SPACE_GSS_3!$BM:$BM)</f>
        <v>21.85</v>
      </c>
    </row>
    <row r="171" spans="1:38" x14ac:dyDescent="0.25">
      <c r="A171">
        <v>255</v>
      </c>
      <c r="B171">
        <v>339</v>
      </c>
      <c r="C171">
        <v>340</v>
      </c>
      <c r="D171">
        <v>0</v>
      </c>
      <c r="E171">
        <v>1</v>
      </c>
      <c r="F171">
        <v>0</v>
      </c>
      <c r="G171">
        <v>0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  <c r="AI171" t="s">
        <v>36</v>
      </c>
      <c r="AJ171" t="s">
        <v>36</v>
      </c>
      <c r="AK171" t="s">
        <v>36</v>
      </c>
      <c r="AL171" t="s">
        <v>36</v>
      </c>
    </row>
    <row r="172" spans="1:38" x14ac:dyDescent="0.25">
      <c r="A172">
        <v>277</v>
      </c>
      <c r="B172">
        <v>341</v>
      </c>
      <c r="C172">
        <v>342</v>
      </c>
      <c r="D172">
        <v>0</v>
      </c>
      <c r="E172">
        <v>1</v>
      </c>
      <c r="F172">
        <v>1</v>
      </c>
      <c r="G172">
        <v>1</v>
      </c>
      <c r="H172">
        <v>14.2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4</v>
      </c>
      <c r="P172">
        <v>156.80000000000001</v>
      </c>
      <c r="Q172">
        <v>1.5680000000000001</v>
      </c>
      <c r="R172">
        <v>2.4586239999999999</v>
      </c>
      <c r="S172">
        <v>53.700001</v>
      </c>
      <c r="T172">
        <v>21.841485729999999</v>
      </c>
      <c r="U172">
        <v>0</v>
      </c>
      <c r="V172" t="s">
        <v>36</v>
      </c>
      <c r="W172">
        <v>15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>
        <v>156.89999</v>
      </c>
      <c r="AF172">
        <v>1.5689998999999999</v>
      </c>
      <c r="AG172">
        <v>2.4617606859999999</v>
      </c>
      <c r="AH172">
        <v>59.200001</v>
      </c>
      <c r="AI172">
        <v>24.047829400000001</v>
      </c>
      <c r="AJ172">
        <v>0</v>
      </c>
      <c r="AK172">
        <f>_xlfn.XLOOKUP(C172,[1]SPACE_GSS_3!$G:$G,[1]SPACE_GSS_3!$AP:$AP)</f>
        <v>2</v>
      </c>
      <c r="AL172">
        <f>_xlfn.XLOOKUP(C172,[1]SPACE_GSS_3!$G:$G,[1]SPACE_GSS_3!$BM:$BM)</f>
        <v>11.05</v>
      </c>
    </row>
    <row r="173" spans="1:38" x14ac:dyDescent="0.25">
      <c r="A173">
        <v>219</v>
      </c>
      <c r="B173">
        <v>343</v>
      </c>
      <c r="C173">
        <v>344</v>
      </c>
      <c r="D173">
        <v>0</v>
      </c>
      <c r="E173">
        <v>1</v>
      </c>
      <c r="F173">
        <v>1</v>
      </c>
      <c r="G173">
        <v>0</v>
      </c>
      <c r="H173">
        <v>14.9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5</v>
      </c>
      <c r="P173">
        <v>159.5</v>
      </c>
      <c r="Q173">
        <v>1.595</v>
      </c>
      <c r="R173">
        <v>2.544025</v>
      </c>
      <c r="S173">
        <v>52</v>
      </c>
      <c r="T173">
        <v>20.440050710000001</v>
      </c>
      <c r="U173">
        <v>0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  <c r="AI173" t="s">
        <v>36</v>
      </c>
      <c r="AJ173" t="s">
        <v>36</v>
      </c>
      <c r="AK173">
        <f>_xlfn.XLOOKUP(C173,[1]SPACE_GSS_3!$G:$G,[1]SPACE_GSS_3!$AP:$AP)</f>
        <v>2</v>
      </c>
      <c r="AL173">
        <f>_xlfn.XLOOKUP(C173,[1]SPACE_GSS_3!$G:$G,[1]SPACE_GSS_3!$BM:$BM)</f>
        <v>19.95</v>
      </c>
    </row>
    <row r="174" spans="1:38" x14ac:dyDescent="0.25">
      <c r="A174">
        <v>269</v>
      </c>
      <c r="B174">
        <v>345</v>
      </c>
      <c r="C174">
        <v>346</v>
      </c>
      <c r="D174">
        <v>0</v>
      </c>
      <c r="E174">
        <v>1</v>
      </c>
      <c r="F174">
        <v>1</v>
      </c>
      <c r="G174">
        <v>1</v>
      </c>
      <c r="H174">
        <v>14.4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5</v>
      </c>
      <c r="P174">
        <v>137</v>
      </c>
      <c r="Q174">
        <v>1.37</v>
      </c>
      <c r="R174">
        <v>1.8769</v>
      </c>
      <c r="S174">
        <v>42.799999</v>
      </c>
      <c r="T174">
        <v>22.80355853</v>
      </c>
      <c r="U174">
        <v>0</v>
      </c>
      <c r="V174" t="s">
        <v>36</v>
      </c>
      <c r="W174">
        <v>15.3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5</v>
      </c>
      <c r="AE174">
        <v>169.39999</v>
      </c>
      <c r="AF174">
        <v>1.6939998999999999</v>
      </c>
      <c r="AG174">
        <v>2.8696356609999998</v>
      </c>
      <c r="AH174">
        <v>44</v>
      </c>
      <c r="AI174">
        <v>15.33295693</v>
      </c>
      <c r="AJ174">
        <v>0</v>
      </c>
      <c r="AK174">
        <f>_xlfn.XLOOKUP(C174,[1]SPACE_GSS_3!$G:$G,[1]SPACE_GSS_3!$AP:$AP)</f>
        <v>2</v>
      </c>
      <c r="AL174">
        <f>_xlfn.XLOOKUP(C174,[1]SPACE_GSS_3!$G:$G,[1]SPACE_GSS_3!$BM:$BM)</f>
        <v>22.05</v>
      </c>
    </row>
    <row r="175" spans="1:38" x14ac:dyDescent="0.25">
      <c r="A175">
        <v>254</v>
      </c>
      <c r="B175">
        <v>347</v>
      </c>
      <c r="C175">
        <v>348</v>
      </c>
      <c r="D175">
        <v>0</v>
      </c>
      <c r="E175">
        <v>1</v>
      </c>
      <c r="F175">
        <v>1</v>
      </c>
      <c r="G175">
        <v>1</v>
      </c>
      <c r="H175">
        <v>12.7</v>
      </c>
      <c r="I175">
        <v>2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5</v>
      </c>
      <c r="P175">
        <v>166.5</v>
      </c>
      <c r="Q175">
        <v>1.665</v>
      </c>
      <c r="R175">
        <v>2.7722250000000002</v>
      </c>
      <c r="S175">
        <v>54.5</v>
      </c>
      <c r="T175">
        <v>19.659298939999999</v>
      </c>
      <c r="U175">
        <v>0</v>
      </c>
      <c r="V175" t="s">
        <v>36</v>
      </c>
      <c r="W175">
        <v>13.3</v>
      </c>
      <c r="X175">
        <v>2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5</v>
      </c>
      <c r="AE175">
        <v>167.5</v>
      </c>
      <c r="AF175">
        <v>1.675</v>
      </c>
      <c r="AG175">
        <v>2.805625</v>
      </c>
      <c r="AH175">
        <v>56.400002000000001</v>
      </c>
      <c r="AI175">
        <v>20.102473419999999</v>
      </c>
      <c r="AJ175">
        <v>0</v>
      </c>
      <c r="AK175">
        <f>_xlfn.XLOOKUP(C175,[1]SPACE_GSS_3!$G:$G,[1]SPACE_GSS_3!$AP:$AP)</f>
        <v>2</v>
      </c>
      <c r="AL175">
        <f>_xlfn.XLOOKUP(C175,[1]SPACE_GSS_3!$G:$G,[1]SPACE_GSS_3!$BM:$BM)</f>
        <v>15.4</v>
      </c>
    </row>
    <row r="176" spans="1:38" x14ac:dyDescent="0.25">
      <c r="A176">
        <v>274</v>
      </c>
      <c r="B176">
        <v>349</v>
      </c>
      <c r="C176">
        <v>350</v>
      </c>
      <c r="D176">
        <v>0</v>
      </c>
      <c r="E176">
        <v>1</v>
      </c>
      <c r="F176">
        <v>1</v>
      </c>
      <c r="G176">
        <v>0</v>
      </c>
      <c r="H176">
        <v>13.8</v>
      </c>
      <c r="I176" t="s">
        <v>36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36</v>
      </c>
      <c r="P176">
        <v>161.10001</v>
      </c>
      <c r="Q176">
        <v>1.6110001</v>
      </c>
      <c r="R176">
        <v>2.5953213220000002</v>
      </c>
      <c r="S176">
        <v>49.900002000000001</v>
      </c>
      <c r="T176">
        <v>19.22690712</v>
      </c>
      <c r="U176">
        <v>0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  <c r="AI176" t="s">
        <v>36</v>
      </c>
      <c r="AJ176" t="s">
        <v>36</v>
      </c>
      <c r="AK176">
        <f>_xlfn.XLOOKUP(C176,[1]SPACE_GSS_3!$G:$G,[1]SPACE_GSS_3!$AP:$AP)</f>
        <v>3</v>
      </c>
      <c r="AL176">
        <f>_xlfn.XLOOKUP(C176,[1]SPACE_GSS_3!$G:$G,[1]SPACE_GSS_3!$BM:$BM)</f>
        <v>19.850000000000001</v>
      </c>
    </row>
    <row r="177" spans="1:38" x14ac:dyDescent="0.25">
      <c r="A177">
        <v>275</v>
      </c>
      <c r="B177">
        <v>351</v>
      </c>
      <c r="C177">
        <v>352</v>
      </c>
      <c r="D177">
        <v>0</v>
      </c>
      <c r="E177">
        <v>1</v>
      </c>
      <c r="F177">
        <v>0</v>
      </c>
      <c r="G177">
        <v>0</v>
      </c>
      <c r="H177" t="s">
        <v>36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  <c r="AH177" t="s">
        <v>36</v>
      </c>
      <c r="AI177" t="s">
        <v>36</v>
      </c>
      <c r="AJ177" t="s">
        <v>36</v>
      </c>
      <c r="AK177">
        <f>_xlfn.XLOOKUP(C177,[1]SPACE_GSS_3!$G:$G,[1]SPACE_GSS_3!$AP:$AP)</f>
        <v>1</v>
      </c>
      <c r="AL177">
        <f>_xlfn.XLOOKUP(C177,[1]SPACE_GSS_3!$G:$G,[1]SPACE_GSS_3!$BM:$BM)</f>
        <v>16.3</v>
      </c>
    </row>
    <row r="178" spans="1:38" x14ac:dyDescent="0.25">
      <c r="A178">
        <v>265</v>
      </c>
      <c r="B178">
        <v>353</v>
      </c>
      <c r="C178">
        <v>354</v>
      </c>
      <c r="D178">
        <v>0</v>
      </c>
      <c r="E178">
        <v>1</v>
      </c>
      <c r="F178">
        <v>0</v>
      </c>
      <c r="G178">
        <v>0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  <c r="AI178" t="s">
        <v>36</v>
      </c>
      <c r="AJ178" t="s">
        <v>36</v>
      </c>
      <c r="AK178">
        <f>_xlfn.XLOOKUP(C178,[1]SPACE_GSS_3!$G:$G,[1]SPACE_GSS_3!$AP:$AP)</f>
        <v>1</v>
      </c>
      <c r="AL178">
        <f>_xlfn.XLOOKUP(C178,[1]SPACE_GSS_3!$G:$G,[1]SPACE_GSS_3!$BM:$BM)</f>
        <v>30.3</v>
      </c>
    </row>
    <row r="179" spans="1:38" x14ac:dyDescent="0.25">
      <c r="A179">
        <v>268</v>
      </c>
      <c r="B179">
        <v>355</v>
      </c>
      <c r="C179">
        <v>356</v>
      </c>
      <c r="D179">
        <v>0</v>
      </c>
      <c r="E179">
        <v>1</v>
      </c>
      <c r="F179">
        <v>1</v>
      </c>
      <c r="G179">
        <v>1</v>
      </c>
      <c r="H179">
        <v>11.8</v>
      </c>
      <c r="I179" t="s">
        <v>36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36</v>
      </c>
      <c r="P179">
        <v>162.5</v>
      </c>
      <c r="Q179">
        <v>1.625</v>
      </c>
      <c r="R179">
        <v>2.640625</v>
      </c>
      <c r="S179">
        <v>47.900002000000001</v>
      </c>
      <c r="T179">
        <v>18.139645730000002</v>
      </c>
      <c r="U179">
        <v>0</v>
      </c>
      <c r="V179" t="s">
        <v>36</v>
      </c>
      <c r="W179">
        <v>12.7</v>
      </c>
      <c r="X179" t="s">
        <v>36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36</v>
      </c>
      <c r="AE179">
        <v>166.89999</v>
      </c>
      <c r="AF179">
        <v>1.6689999</v>
      </c>
      <c r="AG179">
        <v>2.7855606659999999</v>
      </c>
      <c r="AH179">
        <v>53.5</v>
      </c>
      <c r="AI179">
        <v>19.20618734</v>
      </c>
      <c r="AJ179">
        <v>0.1</v>
      </c>
      <c r="AK179">
        <f>_xlfn.XLOOKUP(C179,[1]SPACE_GSS_3!$G:$G,[1]SPACE_GSS_3!$AP:$AP)</f>
        <v>3</v>
      </c>
      <c r="AL179">
        <f>_xlfn.XLOOKUP(C179,[1]SPACE_GSS_3!$G:$G,[1]SPACE_GSS_3!$BM:$BM)</f>
        <v>11.3</v>
      </c>
    </row>
    <row r="180" spans="1:38" x14ac:dyDescent="0.25">
      <c r="A180">
        <v>280</v>
      </c>
      <c r="B180">
        <v>357</v>
      </c>
      <c r="C180">
        <v>358</v>
      </c>
      <c r="D180">
        <v>0</v>
      </c>
      <c r="E180">
        <v>1</v>
      </c>
      <c r="F180">
        <v>1</v>
      </c>
      <c r="G180">
        <v>0</v>
      </c>
      <c r="H180">
        <v>15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5</v>
      </c>
      <c r="P180">
        <v>165.2</v>
      </c>
      <c r="Q180">
        <v>1.6519999999999999</v>
      </c>
      <c r="R180">
        <v>2.729104</v>
      </c>
      <c r="S180">
        <v>55.5</v>
      </c>
      <c r="T180">
        <v>20.336344820000001</v>
      </c>
      <c r="U180">
        <v>0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  <c r="AI180" t="s">
        <v>36</v>
      </c>
      <c r="AJ180" t="s">
        <v>36</v>
      </c>
      <c r="AK180">
        <f>_xlfn.XLOOKUP(C180,[1]SPACE_GSS_3!$G:$G,[1]SPACE_GSS_3!$AP:$AP)</f>
        <v>3</v>
      </c>
      <c r="AL180">
        <f>_xlfn.XLOOKUP(C180,[1]SPACE_GSS_3!$G:$G,[1]SPACE_GSS_3!$BM:$BM)</f>
        <v>14.3</v>
      </c>
    </row>
    <row r="181" spans="1:38" x14ac:dyDescent="0.25">
      <c r="A181">
        <v>281</v>
      </c>
      <c r="B181">
        <v>359</v>
      </c>
      <c r="C181">
        <v>360</v>
      </c>
      <c r="D181">
        <v>0</v>
      </c>
      <c r="E181">
        <v>1</v>
      </c>
      <c r="F181">
        <v>1</v>
      </c>
      <c r="G181">
        <v>0</v>
      </c>
      <c r="H181">
        <v>13.1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5</v>
      </c>
      <c r="P181">
        <v>158.5</v>
      </c>
      <c r="Q181">
        <v>1.585</v>
      </c>
      <c r="R181">
        <v>2.5122249999999999</v>
      </c>
      <c r="S181">
        <v>44.799999</v>
      </c>
      <c r="T181">
        <v>17.83279722</v>
      </c>
      <c r="U181">
        <v>0</v>
      </c>
      <c r="V181" t="s">
        <v>36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  <c r="AI181" t="s">
        <v>36</v>
      </c>
      <c r="AJ181" t="s">
        <v>36</v>
      </c>
      <c r="AK181">
        <f>_xlfn.XLOOKUP(C181,[1]SPACE_GSS_3!$G:$G,[1]SPACE_GSS_3!$AP:$AP)</f>
        <v>0</v>
      </c>
      <c r="AL181">
        <f>_xlfn.XLOOKUP(C181,[1]SPACE_GSS_3!$G:$G,[1]SPACE_GSS_3!$BM:$BM)</f>
        <v>21.1</v>
      </c>
    </row>
    <row r="182" spans="1:38" x14ac:dyDescent="0.25">
      <c r="A182">
        <v>271</v>
      </c>
      <c r="B182">
        <v>361</v>
      </c>
      <c r="C182">
        <v>362</v>
      </c>
      <c r="D182">
        <v>0</v>
      </c>
      <c r="E182">
        <v>1</v>
      </c>
      <c r="F182">
        <v>1</v>
      </c>
      <c r="G182">
        <v>1</v>
      </c>
      <c r="H182">
        <v>13.1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5</v>
      </c>
      <c r="P182">
        <v>163.5</v>
      </c>
      <c r="Q182">
        <v>1.635</v>
      </c>
      <c r="R182">
        <v>2.673225</v>
      </c>
      <c r="S182">
        <v>59.299999</v>
      </c>
      <c r="T182">
        <v>22.18294345</v>
      </c>
      <c r="U182">
        <v>0</v>
      </c>
      <c r="V182" t="s">
        <v>36</v>
      </c>
      <c r="W182">
        <v>14.2</v>
      </c>
      <c r="X182">
        <v>2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5</v>
      </c>
      <c r="AE182">
        <v>167.10001</v>
      </c>
      <c r="AF182">
        <v>1.6710001000000001</v>
      </c>
      <c r="AG182">
        <v>2.7922413339999999</v>
      </c>
      <c r="AH182">
        <v>67.199996999999996</v>
      </c>
      <c r="AI182">
        <v>24.066686560000001</v>
      </c>
      <c r="AJ182">
        <v>-0.1</v>
      </c>
      <c r="AK182">
        <f>_xlfn.XLOOKUP(C182,[1]SPACE_GSS_3!$G:$G,[1]SPACE_GSS_3!$AP:$AP)</f>
        <v>3</v>
      </c>
      <c r="AL182">
        <f>_xlfn.XLOOKUP(C182,[1]SPACE_GSS_3!$G:$G,[1]SPACE_GSS_3!$BM:$BM)</f>
        <v>19.399999999999999</v>
      </c>
    </row>
    <row r="183" spans="1:38" x14ac:dyDescent="0.25">
      <c r="A183">
        <v>227</v>
      </c>
      <c r="B183">
        <v>363</v>
      </c>
      <c r="C183">
        <v>364</v>
      </c>
      <c r="D183">
        <v>0</v>
      </c>
      <c r="E183">
        <v>1</v>
      </c>
      <c r="F183">
        <v>0</v>
      </c>
      <c r="G183">
        <v>0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36</v>
      </c>
      <c r="AF183" t="s">
        <v>36</v>
      </c>
      <c r="AG183" t="s">
        <v>36</v>
      </c>
      <c r="AH183" t="s">
        <v>36</v>
      </c>
      <c r="AI183" t="s">
        <v>36</v>
      </c>
      <c r="AJ183" t="s">
        <v>36</v>
      </c>
      <c r="AK183">
        <f>_xlfn.XLOOKUP(C183,[1]SPACE_GSS_3!$G:$G,[1]SPACE_GSS_3!$AP:$AP)</f>
        <v>4</v>
      </c>
      <c r="AL183">
        <f>_xlfn.XLOOKUP(C183,[1]SPACE_GSS_3!$G:$G,[1]SPACE_GSS_3!$BM:$BM)</f>
        <v>48.6</v>
      </c>
    </row>
    <row r="184" spans="1:38" x14ac:dyDescent="0.25">
      <c r="A184">
        <v>258</v>
      </c>
      <c r="B184">
        <v>365</v>
      </c>
      <c r="C184">
        <v>366</v>
      </c>
      <c r="D184">
        <v>0</v>
      </c>
      <c r="E184">
        <v>1</v>
      </c>
      <c r="F184">
        <v>1</v>
      </c>
      <c r="G184">
        <v>0</v>
      </c>
      <c r="H184">
        <v>12.4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5</v>
      </c>
      <c r="P184">
        <v>162.19999999999999</v>
      </c>
      <c r="Q184">
        <v>1.6220000000000001</v>
      </c>
      <c r="R184">
        <v>2.630884</v>
      </c>
      <c r="S184">
        <v>52</v>
      </c>
      <c r="T184">
        <v>19.765219600000002</v>
      </c>
      <c r="U184">
        <v>0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  <c r="AI184" t="s">
        <v>36</v>
      </c>
      <c r="AJ184" t="s">
        <v>36</v>
      </c>
      <c r="AK184">
        <f>_xlfn.XLOOKUP(C184,[1]SPACE_GSS_3!$G:$G,[1]SPACE_GSS_3!$AP:$AP)</f>
        <v>0</v>
      </c>
      <c r="AL184">
        <f>_xlfn.XLOOKUP(C184,[1]SPACE_GSS_3!$G:$G,[1]SPACE_GSS_3!$BM:$BM)</f>
        <v>10.5</v>
      </c>
    </row>
    <row r="185" spans="1:38" x14ac:dyDescent="0.25">
      <c r="A185">
        <v>253</v>
      </c>
      <c r="B185">
        <v>367</v>
      </c>
      <c r="C185">
        <v>368</v>
      </c>
      <c r="D185">
        <v>0</v>
      </c>
      <c r="E185">
        <v>1</v>
      </c>
      <c r="F185">
        <v>0</v>
      </c>
      <c r="G185">
        <v>0</v>
      </c>
      <c r="H185" t="s">
        <v>36</v>
      </c>
      <c r="I185" t="s">
        <v>36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36</v>
      </c>
      <c r="AE185" t="s">
        <v>36</v>
      </c>
      <c r="AF185" t="s">
        <v>36</v>
      </c>
      <c r="AG185" t="s">
        <v>36</v>
      </c>
      <c r="AH185" t="s">
        <v>36</v>
      </c>
      <c r="AI185" t="s">
        <v>36</v>
      </c>
      <c r="AJ185" t="s">
        <v>36</v>
      </c>
      <c r="AK185">
        <f>_xlfn.XLOOKUP(C185,[1]SPACE_GSS_3!$G:$G,[1]SPACE_GSS_3!$AP:$AP)</f>
        <v>3</v>
      </c>
      <c r="AL185" t="s">
        <v>36</v>
      </c>
    </row>
    <row r="186" spans="1:38" x14ac:dyDescent="0.25">
      <c r="A186">
        <v>259</v>
      </c>
      <c r="B186">
        <v>369</v>
      </c>
      <c r="C186">
        <v>370</v>
      </c>
      <c r="D186">
        <v>0</v>
      </c>
      <c r="E186">
        <v>1</v>
      </c>
      <c r="F186">
        <v>0</v>
      </c>
      <c r="G186">
        <v>0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 t="s">
        <v>36</v>
      </c>
      <c r="AF186" t="s">
        <v>36</v>
      </c>
      <c r="AG186" t="s">
        <v>36</v>
      </c>
      <c r="AH186" t="s">
        <v>36</v>
      </c>
      <c r="AI186" t="s">
        <v>36</v>
      </c>
      <c r="AJ186" t="s">
        <v>36</v>
      </c>
      <c r="AK186">
        <f>_xlfn.XLOOKUP(C186,[1]SPACE_GSS_3!$G:$G,[1]SPACE_GSS_3!$AP:$AP)</f>
        <v>2</v>
      </c>
      <c r="AL186" t="s">
        <v>36</v>
      </c>
    </row>
    <row r="187" spans="1:38" x14ac:dyDescent="0.25">
      <c r="A187">
        <v>252</v>
      </c>
      <c r="B187">
        <v>371</v>
      </c>
      <c r="C187">
        <v>372</v>
      </c>
      <c r="D187">
        <v>0</v>
      </c>
      <c r="E187">
        <v>1</v>
      </c>
      <c r="F187">
        <v>1</v>
      </c>
      <c r="G187">
        <v>1</v>
      </c>
      <c r="H187">
        <v>12.3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5</v>
      </c>
      <c r="P187">
        <v>149</v>
      </c>
      <c r="Q187">
        <v>1.49</v>
      </c>
      <c r="R187">
        <v>2.2201</v>
      </c>
      <c r="S187">
        <v>45.5</v>
      </c>
      <c r="T187">
        <v>20.49457232</v>
      </c>
      <c r="U187">
        <v>-0.1</v>
      </c>
      <c r="V187" t="s">
        <v>36</v>
      </c>
      <c r="W187">
        <v>13.2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5</v>
      </c>
      <c r="AE187">
        <v>150.89999</v>
      </c>
      <c r="AF187">
        <v>1.5089999000000001</v>
      </c>
      <c r="AG187">
        <v>2.2770806979999998</v>
      </c>
      <c r="AH187">
        <v>53.400002000000001</v>
      </c>
      <c r="AI187">
        <v>23.451080170000001</v>
      </c>
      <c r="AJ187">
        <v>-0.1</v>
      </c>
      <c r="AK187">
        <f>_xlfn.XLOOKUP(C187,[1]SPACE_GSS_3!$G:$G,[1]SPACE_GSS_3!$AP:$AP)</f>
        <v>1</v>
      </c>
      <c r="AL187">
        <f>_xlfn.XLOOKUP(C187,[1]SPACE_GSS_3!$G:$G,[1]SPACE_GSS_3!$BM:$BM)</f>
        <v>27.7</v>
      </c>
    </row>
    <row r="188" spans="1:38" x14ac:dyDescent="0.25">
      <c r="A188">
        <v>262</v>
      </c>
      <c r="B188">
        <v>373</v>
      </c>
      <c r="C188">
        <v>374</v>
      </c>
      <c r="D188">
        <v>0</v>
      </c>
      <c r="E188">
        <v>1</v>
      </c>
      <c r="F188">
        <v>1</v>
      </c>
      <c r="G188">
        <v>1</v>
      </c>
      <c r="H188">
        <v>14.4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5</v>
      </c>
      <c r="P188">
        <v>166</v>
      </c>
      <c r="Q188">
        <v>1.66</v>
      </c>
      <c r="R188">
        <v>2.7555999999999998</v>
      </c>
      <c r="S188">
        <v>50.799999</v>
      </c>
      <c r="T188">
        <v>18.435186170000001</v>
      </c>
      <c r="U188">
        <v>0</v>
      </c>
      <c r="V188" t="s">
        <v>36</v>
      </c>
      <c r="W188">
        <v>13.4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5</v>
      </c>
      <c r="AE188">
        <v>169.5</v>
      </c>
      <c r="AF188">
        <v>1.6950000000000001</v>
      </c>
      <c r="AG188">
        <v>2.8730250000000002</v>
      </c>
      <c r="AH188" t="s">
        <v>36</v>
      </c>
      <c r="AI188" t="e">
        <v>#VALUE!</v>
      </c>
      <c r="AJ188" t="s">
        <v>36</v>
      </c>
      <c r="AK188">
        <f>_xlfn.XLOOKUP(C188,[1]SPACE_GSS_3!$G:$G,[1]SPACE_GSS_3!$AP:$AP)</f>
        <v>0</v>
      </c>
      <c r="AL188">
        <f>_xlfn.XLOOKUP(C188,[1]SPACE_GSS_3!$G:$G,[1]SPACE_GSS_3!$BM:$BM)</f>
        <v>23.6</v>
      </c>
    </row>
    <row r="189" spans="1:38" x14ac:dyDescent="0.25">
      <c r="A189">
        <v>261</v>
      </c>
      <c r="B189">
        <v>375</v>
      </c>
      <c r="C189">
        <v>376</v>
      </c>
      <c r="D189">
        <v>0</v>
      </c>
      <c r="E189">
        <v>1</v>
      </c>
      <c r="F189">
        <v>1</v>
      </c>
      <c r="G189">
        <v>1</v>
      </c>
      <c r="H189">
        <v>12.4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5</v>
      </c>
      <c r="P189">
        <v>162.60001</v>
      </c>
      <c r="Q189">
        <v>1.6260000999999999</v>
      </c>
      <c r="R189">
        <v>2.6438763249999999</v>
      </c>
      <c r="S189">
        <v>44.299999</v>
      </c>
      <c r="T189">
        <v>16.755700170000001</v>
      </c>
      <c r="U189">
        <v>0</v>
      </c>
      <c r="V189" t="s">
        <v>36</v>
      </c>
      <c r="W189">
        <v>13.4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5</v>
      </c>
      <c r="AE189">
        <v>164.60001</v>
      </c>
      <c r="AF189">
        <v>1.6460001</v>
      </c>
      <c r="AG189">
        <v>2.709316329</v>
      </c>
      <c r="AH189" t="s">
        <v>36</v>
      </c>
      <c r="AI189" t="e">
        <v>#VALUE!</v>
      </c>
      <c r="AJ189" t="s">
        <v>36</v>
      </c>
      <c r="AK189">
        <f>_xlfn.XLOOKUP(C189,[1]SPACE_GSS_3!$G:$G,[1]SPACE_GSS_3!$AP:$AP)</f>
        <v>0</v>
      </c>
      <c r="AL189">
        <f>_xlfn.XLOOKUP(C189,[1]SPACE_GSS_3!$G:$G,[1]SPACE_GSS_3!$BM:$BM)</f>
        <v>9.8000000000000007</v>
      </c>
    </row>
    <row r="190" spans="1:38" x14ac:dyDescent="0.25">
      <c r="A190">
        <v>272</v>
      </c>
      <c r="B190">
        <v>377</v>
      </c>
      <c r="C190">
        <v>378</v>
      </c>
      <c r="D190">
        <v>0</v>
      </c>
      <c r="E190">
        <v>1</v>
      </c>
      <c r="F190">
        <v>1</v>
      </c>
      <c r="G190">
        <v>1</v>
      </c>
      <c r="H190">
        <v>12.2</v>
      </c>
      <c r="I190">
        <v>2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162</v>
      </c>
      <c r="Q190">
        <v>1.62</v>
      </c>
      <c r="R190">
        <v>2.6244000000000001</v>
      </c>
      <c r="S190">
        <v>59.599997999999999</v>
      </c>
      <c r="T190">
        <v>22.70995199</v>
      </c>
      <c r="U190">
        <v>0</v>
      </c>
      <c r="V190" t="s">
        <v>36</v>
      </c>
      <c r="W190">
        <v>13.5</v>
      </c>
      <c r="X190">
        <v>2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163</v>
      </c>
      <c r="AF190">
        <v>1.63</v>
      </c>
      <c r="AG190">
        <v>2.6568999999999998</v>
      </c>
      <c r="AH190">
        <v>63.400002000000001</v>
      </c>
      <c r="AI190">
        <v>23.862396780000001</v>
      </c>
      <c r="AJ190">
        <v>0.2</v>
      </c>
      <c r="AK190">
        <f>_xlfn.XLOOKUP(C190,[1]SPACE_GSS_3!$G:$G,[1]SPACE_GSS_3!$AP:$AP)</f>
        <v>2</v>
      </c>
      <c r="AL190">
        <f>_xlfn.XLOOKUP(C190,[1]SPACE_GSS_3!$G:$G,[1]SPACE_GSS_3!$BM:$BM)</f>
        <v>23.75</v>
      </c>
    </row>
    <row r="191" spans="1:38" x14ac:dyDescent="0.25">
      <c r="A191">
        <v>282</v>
      </c>
      <c r="B191">
        <v>379</v>
      </c>
      <c r="C191">
        <v>380</v>
      </c>
      <c r="D191">
        <v>0</v>
      </c>
      <c r="E191">
        <v>1</v>
      </c>
      <c r="F191">
        <v>1</v>
      </c>
      <c r="G191">
        <v>1</v>
      </c>
      <c r="H191">
        <v>12.6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4</v>
      </c>
      <c r="P191">
        <v>167.2</v>
      </c>
      <c r="Q191">
        <v>1.6719999999999999</v>
      </c>
      <c r="R191">
        <v>2.7955839999999998</v>
      </c>
      <c r="S191">
        <v>61.700001</v>
      </c>
      <c r="T191">
        <v>22.070523009999999</v>
      </c>
      <c r="U191">
        <v>0</v>
      </c>
      <c r="V191" t="s">
        <v>36</v>
      </c>
      <c r="W191">
        <v>13.6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4</v>
      </c>
      <c r="AE191">
        <v>170</v>
      </c>
      <c r="AF191">
        <v>1.7</v>
      </c>
      <c r="AG191">
        <v>2.89</v>
      </c>
      <c r="AH191">
        <v>67.099997999999999</v>
      </c>
      <c r="AI191">
        <v>23.217992389999999</v>
      </c>
      <c r="AJ191">
        <v>0</v>
      </c>
      <c r="AK191">
        <f>_xlfn.XLOOKUP(C191,[1]SPACE_GSS_3!$G:$G,[1]SPACE_GSS_3!$AP:$AP)</f>
        <v>2</v>
      </c>
      <c r="AL191">
        <f>_xlfn.XLOOKUP(C191,[1]SPACE_GSS_3!$G:$G,[1]SPACE_GSS_3!$BM:$BM)</f>
        <v>18.350000000000001</v>
      </c>
    </row>
    <row r="192" spans="1:38" x14ac:dyDescent="0.25">
      <c r="A192">
        <v>273</v>
      </c>
      <c r="B192">
        <v>381</v>
      </c>
      <c r="C192">
        <v>382</v>
      </c>
      <c r="D192">
        <v>0</v>
      </c>
      <c r="E192">
        <v>1</v>
      </c>
      <c r="F192">
        <v>1</v>
      </c>
      <c r="G192">
        <v>1</v>
      </c>
      <c r="H192">
        <v>12.7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5</v>
      </c>
      <c r="P192">
        <v>166.10001</v>
      </c>
      <c r="Q192">
        <v>1.6610001000000001</v>
      </c>
      <c r="R192">
        <v>2.7589213319999999</v>
      </c>
      <c r="S192">
        <v>57.5</v>
      </c>
      <c r="T192">
        <v>20.841478630000001</v>
      </c>
      <c r="U192">
        <v>-0.1</v>
      </c>
      <c r="V192" t="s">
        <v>36</v>
      </c>
      <c r="W192">
        <v>13.6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5</v>
      </c>
      <c r="AE192">
        <v>168.39999</v>
      </c>
      <c r="AF192">
        <v>1.6839999000000001</v>
      </c>
      <c r="AG192">
        <v>2.8358556629999998</v>
      </c>
      <c r="AH192">
        <v>58.400002000000001</v>
      </c>
      <c r="AI192">
        <v>20.593432440000001</v>
      </c>
      <c r="AJ192">
        <v>0</v>
      </c>
      <c r="AK192">
        <f>_xlfn.XLOOKUP(C192,[1]SPACE_GSS_3!$G:$G,[1]SPACE_GSS_3!$AP:$AP)</f>
        <v>3</v>
      </c>
      <c r="AL192">
        <f>_xlfn.XLOOKUP(C192,[1]SPACE_GSS_3!$G:$G,[1]SPACE_GSS_3!$BM:$BM)</f>
        <v>6.3</v>
      </c>
    </row>
    <row r="193" spans="1:38" x14ac:dyDescent="0.25">
      <c r="A193">
        <v>270</v>
      </c>
      <c r="B193">
        <v>383</v>
      </c>
      <c r="C193">
        <v>384</v>
      </c>
      <c r="D193">
        <v>0</v>
      </c>
      <c r="E193">
        <v>1</v>
      </c>
      <c r="F193">
        <v>1</v>
      </c>
      <c r="G193">
        <v>0</v>
      </c>
      <c r="H193">
        <v>12.8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5</v>
      </c>
      <c r="P193">
        <v>163</v>
      </c>
      <c r="Q193">
        <v>1.63</v>
      </c>
      <c r="R193">
        <v>2.6568999999999998</v>
      </c>
      <c r="S193">
        <v>53</v>
      </c>
      <c r="T193">
        <v>19.94805977</v>
      </c>
      <c r="U193">
        <v>-0.1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 t="s">
        <v>36</v>
      </c>
      <c r="AF193" t="s">
        <v>36</v>
      </c>
      <c r="AG193" t="s">
        <v>36</v>
      </c>
      <c r="AH193" t="s">
        <v>36</v>
      </c>
      <c r="AI193" t="s">
        <v>36</v>
      </c>
      <c r="AJ193" t="s">
        <v>36</v>
      </c>
      <c r="AK193">
        <f>_xlfn.XLOOKUP(C193,[1]SPACE_GSS_3!$G:$G,[1]SPACE_GSS_3!$AP:$AP)</f>
        <v>5</v>
      </c>
      <c r="AL193">
        <f>_xlfn.XLOOKUP(C193,[1]SPACE_GSS_3!$G:$G,[1]SPACE_GSS_3!$BM:$BM)</f>
        <v>7.65</v>
      </c>
    </row>
    <row r="194" spans="1:38" x14ac:dyDescent="0.25">
      <c r="A194">
        <v>287</v>
      </c>
      <c r="B194">
        <v>385</v>
      </c>
      <c r="C194">
        <v>386</v>
      </c>
      <c r="D194">
        <v>0</v>
      </c>
      <c r="E194">
        <v>1</v>
      </c>
      <c r="F194">
        <v>0</v>
      </c>
      <c r="G194">
        <v>1</v>
      </c>
      <c r="H194">
        <v>13.8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>
        <v>13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5</v>
      </c>
      <c r="AE194">
        <v>152</v>
      </c>
      <c r="AF194">
        <v>1.52</v>
      </c>
      <c r="AG194">
        <v>2.3104</v>
      </c>
      <c r="AH194">
        <v>48.299999</v>
      </c>
      <c r="AI194">
        <v>20.905470480000002</v>
      </c>
      <c r="AJ194">
        <v>0.1</v>
      </c>
      <c r="AK194">
        <f>_xlfn.XLOOKUP(C194,[1]SPACE_GSS_3!$G:$G,[1]SPACE_GSS_3!$AP:$AP)</f>
        <v>2</v>
      </c>
      <c r="AL194">
        <f>_xlfn.XLOOKUP(C194,[1]SPACE_GSS_3!$G:$G,[1]SPACE_GSS_3!$BM:$BM)</f>
        <v>5.2</v>
      </c>
    </row>
    <row r="195" spans="1:38" x14ac:dyDescent="0.25">
      <c r="A195">
        <v>288</v>
      </c>
      <c r="B195">
        <v>387</v>
      </c>
      <c r="C195">
        <v>388</v>
      </c>
      <c r="D195">
        <v>0</v>
      </c>
      <c r="E195">
        <v>1</v>
      </c>
      <c r="F195">
        <v>1</v>
      </c>
      <c r="G195">
        <v>1</v>
      </c>
      <c r="H195">
        <v>12.3</v>
      </c>
      <c r="I195" t="s">
        <v>36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36</v>
      </c>
      <c r="P195">
        <v>156.5</v>
      </c>
      <c r="Q195">
        <v>1.5649999999999999</v>
      </c>
      <c r="R195">
        <v>2.4492250000000002</v>
      </c>
      <c r="S195">
        <v>47.5</v>
      </c>
      <c r="T195">
        <v>19.393889900000001</v>
      </c>
      <c r="U195">
        <v>0</v>
      </c>
      <c r="V195" t="s">
        <v>36</v>
      </c>
      <c r="W195">
        <v>13.2</v>
      </c>
      <c r="X195" t="s">
        <v>36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36</v>
      </c>
      <c r="AE195">
        <v>161.39999</v>
      </c>
      <c r="AF195">
        <v>1.6139999</v>
      </c>
      <c r="AG195">
        <v>2.6049956769999998</v>
      </c>
      <c r="AH195">
        <v>48.599997999999999</v>
      </c>
      <c r="AI195">
        <v>18.656460129999999</v>
      </c>
      <c r="AJ195">
        <v>0.1</v>
      </c>
      <c r="AK195">
        <f>_xlfn.XLOOKUP(C195,[1]SPACE_GSS_3!$G:$G,[1]SPACE_GSS_3!$AP:$AP)</f>
        <v>2</v>
      </c>
      <c r="AL195">
        <f>_xlfn.XLOOKUP(C195,[1]SPACE_GSS_3!$G:$G,[1]SPACE_GSS_3!$BM:$BM)</f>
        <v>3.35</v>
      </c>
    </row>
    <row r="196" spans="1:38" x14ac:dyDescent="0.25">
      <c r="A196">
        <v>260</v>
      </c>
      <c r="B196">
        <v>389</v>
      </c>
      <c r="C196">
        <v>390</v>
      </c>
      <c r="D196">
        <v>0</v>
      </c>
      <c r="E196">
        <v>1</v>
      </c>
      <c r="F196">
        <v>1</v>
      </c>
      <c r="G196">
        <v>0</v>
      </c>
      <c r="H196">
        <v>12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5</v>
      </c>
      <c r="P196">
        <v>173.2</v>
      </c>
      <c r="Q196">
        <v>1.732</v>
      </c>
      <c r="R196">
        <v>2.9998239999999998</v>
      </c>
      <c r="S196">
        <v>61.5</v>
      </c>
      <c r="T196">
        <v>20.50120274</v>
      </c>
      <c r="U196">
        <v>0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  <c r="AI196" t="s">
        <v>36</v>
      </c>
      <c r="AJ196" t="s">
        <v>36</v>
      </c>
      <c r="AK196">
        <f>_xlfn.XLOOKUP(C196,[1]SPACE_GSS_3!$G:$G,[1]SPACE_GSS_3!$AP:$AP)</f>
        <v>4</v>
      </c>
      <c r="AL196">
        <f>_xlfn.XLOOKUP(C196,[1]SPACE_GSS_3!$G:$G,[1]SPACE_GSS_3!$BM:$BM)</f>
        <v>21.7</v>
      </c>
    </row>
    <row r="197" spans="1:38" x14ac:dyDescent="0.25">
      <c r="A197">
        <v>292</v>
      </c>
      <c r="B197">
        <v>391</v>
      </c>
      <c r="C197">
        <v>392</v>
      </c>
      <c r="D197">
        <v>0</v>
      </c>
      <c r="E197">
        <v>1</v>
      </c>
      <c r="F197">
        <v>1</v>
      </c>
      <c r="G197">
        <v>1</v>
      </c>
      <c r="H197">
        <v>12.6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4</v>
      </c>
      <c r="P197">
        <v>145.19999999999999</v>
      </c>
      <c r="Q197">
        <v>1.452</v>
      </c>
      <c r="R197">
        <v>2.108304</v>
      </c>
      <c r="S197">
        <v>45.599997999999999</v>
      </c>
      <c r="T197">
        <v>21.628758470000001</v>
      </c>
      <c r="U197">
        <v>0</v>
      </c>
      <c r="V197" t="s">
        <v>36</v>
      </c>
      <c r="W197">
        <v>13.4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5</v>
      </c>
      <c r="AE197">
        <v>149</v>
      </c>
      <c r="AF197">
        <v>1.49</v>
      </c>
      <c r="AG197">
        <v>2.2201</v>
      </c>
      <c r="AH197">
        <v>45.5</v>
      </c>
      <c r="AI197">
        <v>20.49457232</v>
      </c>
      <c r="AJ197">
        <v>0</v>
      </c>
      <c r="AK197">
        <f>_xlfn.XLOOKUP(C197,[1]SPACE_GSS_3!$G:$G,[1]SPACE_GSS_3!$AP:$AP)</f>
        <v>6</v>
      </c>
      <c r="AL197">
        <f>_xlfn.XLOOKUP(C197,[1]SPACE_GSS_3!$G:$G,[1]SPACE_GSS_3!$BM:$BM)</f>
        <v>5.0999999999999996</v>
      </c>
    </row>
    <row r="198" spans="1:38" x14ac:dyDescent="0.25">
      <c r="A198">
        <v>267</v>
      </c>
      <c r="B198">
        <v>393</v>
      </c>
      <c r="C198">
        <v>394</v>
      </c>
      <c r="D198">
        <v>0</v>
      </c>
      <c r="E198">
        <v>1</v>
      </c>
      <c r="F198">
        <v>1</v>
      </c>
      <c r="G198">
        <v>1</v>
      </c>
      <c r="H198">
        <v>14.3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5</v>
      </c>
      <c r="P198">
        <v>165.89999</v>
      </c>
      <c r="Q198">
        <v>1.6589999</v>
      </c>
      <c r="R198">
        <v>2.752280668</v>
      </c>
      <c r="S198">
        <v>58.900002000000001</v>
      </c>
      <c r="T198">
        <v>21.400434440000002</v>
      </c>
      <c r="U198">
        <v>0</v>
      </c>
      <c r="V198" t="s">
        <v>36</v>
      </c>
      <c r="W198">
        <v>15.4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5</v>
      </c>
      <c r="AE198">
        <v>168.3</v>
      </c>
      <c r="AF198">
        <v>1.6830000000000001</v>
      </c>
      <c r="AG198">
        <v>2.8324889999999998</v>
      </c>
      <c r="AH198">
        <v>62.5</v>
      </c>
      <c r="AI198">
        <v>22.065399020000001</v>
      </c>
      <c r="AJ198">
        <v>0</v>
      </c>
      <c r="AK198">
        <f>_xlfn.XLOOKUP(C198,[1]SPACE_GSS_3!$G:$G,[1]SPACE_GSS_3!$AP:$AP)</f>
        <v>2</v>
      </c>
      <c r="AL198">
        <f>_xlfn.XLOOKUP(C198,[1]SPACE_GSS_3!$G:$G,[1]SPACE_GSS_3!$BM:$BM)</f>
        <v>7.75</v>
      </c>
    </row>
    <row r="199" spans="1:38" x14ac:dyDescent="0.25">
      <c r="A199">
        <v>301</v>
      </c>
      <c r="B199">
        <v>395</v>
      </c>
      <c r="C199">
        <v>396</v>
      </c>
      <c r="D199">
        <v>0</v>
      </c>
      <c r="E199">
        <v>1</v>
      </c>
      <c r="F199">
        <v>0</v>
      </c>
      <c r="G199">
        <v>0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  <c r="AI199" t="s">
        <v>36</v>
      </c>
      <c r="AJ199" t="s">
        <v>36</v>
      </c>
      <c r="AK199">
        <f>_xlfn.XLOOKUP(C199,[1]SPACE_GSS_3!$G:$G,[1]SPACE_GSS_3!$AP:$AP)</f>
        <v>0</v>
      </c>
      <c r="AL199">
        <f>_xlfn.XLOOKUP(C199,[1]SPACE_GSS_3!$G:$G,[1]SPACE_GSS_3!$BM:$BM)</f>
        <v>4.7</v>
      </c>
    </row>
    <row r="200" spans="1:38" x14ac:dyDescent="0.25">
      <c r="A200">
        <v>276</v>
      </c>
      <c r="B200">
        <v>397</v>
      </c>
      <c r="C200">
        <v>398</v>
      </c>
      <c r="D200">
        <v>0</v>
      </c>
      <c r="E200">
        <v>1</v>
      </c>
      <c r="F200">
        <v>1</v>
      </c>
      <c r="G200">
        <v>1</v>
      </c>
      <c r="H200">
        <v>14.4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5</v>
      </c>
      <c r="P200">
        <v>157</v>
      </c>
      <c r="Q200">
        <v>1.57</v>
      </c>
      <c r="R200">
        <v>2.4649000000000001</v>
      </c>
      <c r="S200">
        <v>53.900002000000001</v>
      </c>
      <c r="T200">
        <v>21.867013669999999</v>
      </c>
      <c r="U200">
        <v>0</v>
      </c>
      <c r="V200" t="s">
        <v>36</v>
      </c>
      <c r="W200">
        <v>15.2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5</v>
      </c>
      <c r="AE200">
        <v>157.69999999999999</v>
      </c>
      <c r="AF200">
        <v>1.577</v>
      </c>
      <c r="AG200">
        <v>2.4869289999999999</v>
      </c>
      <c r="AH200">
        <v>58.700001</v>
      </c>
      <c r="AI200">
        <v>23.603408460000001</v>
      </c>
      <c r="AJ200">
        <v>-0.1</v>
      </c>
      <c r="AK200">
        <f>_xlfn.XLOOKUP(C200,[1]SPACE_GSS_3!$G:$G,[1]SPACE_GSS_3!$AP:$AP)</f>
        <v>1</v>
      </c>
      <c r="AL200">
        <f>_xlfn.XLOOKUP(C200,[1]SPACE_GSS_3!$G:$G,[1]SPACE_GSS_3!$BM:$BM)</f>
        <v>8.9499999999999993</v>
      </c>
    </row>
    <row r="201" spans="1:38" x14ac:dyDescent="0.25">
      <c r="A201">
        <v>300</v>
      </c>
      <c r="B201">
        <v>399</v>
      </c>
      <c r="C201">
        <v>400</v>
      </c>
      <c r="D201">
        <v>0</v>
      </c>
      <c r="E201">
        <v>1</v>
      </c>
      <c r="F201">
        <v>0</v>
      </c>
      <c r="G201">
        <v>0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 t="s">
        <v>36</v>
      </c>
      <c r="AF201" t="s">
        <v>36</v>
      </c>
      <c r="AG201" t="s">
        <v>36</v>
      </c>
      <c r="AH201" t="s">
        <v>36</v>
      </c>
      <c r="AI201" t="s">
        <v>36</v>
      </c>
      <c r="AJ201" t="s">
        <v>36</v>
      </c>
      <c r="AK201">
        <f>_xlfn.XLOOKUP(C201,[1]SPACE_GSS_3!$G:$G,[1]SPACE_GSS_3!$AP:$AP)</f>
        <v>4</v>
      </c>
      <c r="AL201">
        <f>_xlfn.XLOOKUP(C201,[1]SPACE_GSS_3!$G:$G,[1]SPACE_GSS_3!$BM:$BM)</f>
        <v>4.9000000000000004</v>
      </c>
    </row>
    <row r="202" spans="1:38" x14ac:dyDescent="0.25">
      <c r="A202">
        <v>284</v>
      </c>
      <c r="B202">
        <v>401</v>
      </c>
      <c r="C202">
        <v>402</v>
      </c>
      <c r="D202">
        <v>0</v>
      </c>
      <c r="E202">
        <v>1</v>
      </c>
      <c r="F202">
        <v>1</v>
      </c>
      <c r="G202">
        <v>1</v>
      </c>
      <c r="H202">
        <v>11.1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3</v>
      </c>
      <c r="P202">
        <v>160</v>
      </c>
      <c r="Q202">
        <v>1.6</v>
      </c>
      <c r="R202">
        <v>2.56</v>
      </c>
      <c r="S202">
        <v>49.799999</v>
      </c>
      <c r="T202">
        <v>19.45312461</v>
      </c>
      <c r="U202">
        <v>0.1</v>
      </c>
      <c r="V202" t="s">
        <v>36</v>
      </c>
      <c r="W202">
        <v>12.2</v>
      </c>
      <c r="X202">
        <v>2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3</v>
      </c>
      <c r="AE202">
        <v>166.89999</v>
      </c>
      <c r="AF202">
        <v>1.6689999</v>
      </c>
      <c r="AG202">
        <v>2.7855606659999999</v>
      </c>
      <c r="AH202">
        <v>59.5</v>
      </c>
      <c r="AI202">
        <v>21.36015227</v>
      </c>
      <c r="AJ202">
        <v>0</v>
      </c>
      <c r="AK202">
        <f>_xlfn.XLOOKUP(C202,[1]SPACE_GSS_3!$G:$G,[1]SPACE_GSS_3!$AP:$AP)</f>
        <v>5</v>
      </c>
      <c r="AL202">
        <f>_xlfn.XLOOKUP(C202,[1]SPACE_GSS_3!$G:$G,[1]SPACE_GSS_3!$BM:$BM)</f>
        <v>17</v>
      </c>
    </row>
    <row r="203" spans="1:38" x14ac:dyDescent="0.25">
      <c r="A203">
        <v>283</v>
      </c>
      <c r="B203">
        <v>403</v>
      </c>
      <c r="C203">
        <v>404</v>
      </c>
      <c r="D203">
        <v>0</v>
      </c>
      <c r="E203">
        <v>1</v>
      </c>
      <c r="F203">
        <v>1</v>
      </c>
      <c r="G203">
        <v>1</v>
      </c>
      <c r="H203">
        <v>12.6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3</v>
      </c>
      <c r="P203">
        <v>158.69999999999999</v>
      </c>
      <c r="Q203">
        <v>1.587</v>
      </c>
      <c r="R203">
        <v>2.5185689999999998</v>
      </c>
      <c r="S203">
        <v>55.099997999999999</v>
      </c>
      <c r="T203">
        <v>21.87750187</v>
      </c>
      <c r="U203">
        <v>0</v>
      </c>
      <c r="V203" t="s">
        <v>36</v>
      </c>
      <c r="W203">
        <v>13.8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</v>
      </c>
      <c r="AE203">
        <v>162.5</v>
      </c>
      <c r="AF203">
        <v>1.625</v>
      </c>
      <c r="AG203">
        <v>2.640625</v>
      </c>
      <c r="AH203">
        <v>64.599997999999999</v>
      </c>
      <c r="AI203">
        <v>24.46390457</v>
      </c>
      <c r="AJ203">
        <v>0</v>
      </c>
      <c r="AK203">
        <f>_xlfn.XLOOKUP(C203,[1]SPACE_GSS_3!$G:$G,[1]SPACE_GSS_3!$AP:$AP)</f>
        <v>0</v>
      </c>
      <c r="AL203">
        <f>_xlfn.XLOOKUP(C203,[1]SPACE_GSS_3!$G:$G,[1]SPACE_GSS_3!$BM:$BM)</f>
        <v>22.3</v>
      </c>
    </row>
    <row r="204" spans="1:38" x14ac:dyDescent="0.25">
      <c r="A204">
        <v>278</v>
      </c>
      <c r="B204">
        <v>405</v>
      </c>
      <c r="C204">
        <v>406</v>
      </c>
      <c r="D204">
        <v>0</v>
      </c>
      <c r="E204">
        <v>1</v>
      </c>
      <c r="F204">
        <v>1</v>
      </c>
      <c r="G204">
        <v>0</v>
      </c>
      <c r="H204">
        <v>14.4</v>
      </c>
      <c r="I204" t="s">
        <v>36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36</v>
      </c>
      <c r="P204">
        <v>155.10001</v>
      </c>
      <c r="Q204">
        <v>1.5510001</v>
      </c>
      <c r="R204">
        <v>2.4056013100000002</v>
      </c>
      <c r="S204">
        <v>49.599997999999999</v>
      </c>
      <c r="T204">
        <v>20.61854464</v>
      </c>
      <c r="U204">
        <v>0</v>
      </c>
      <c r="V204" t="s">
        <v>36</v>
      </c>
      <c r="W204">
        <v>14</v>
      </c>
      <c r="X204">
        <v>2</v>
      </c>
      <c r="Y204">
        <v>1</v>
      </c>
      <c r="Z204">
        <v>0</v>
      </c>
      <c r="AA204">
        <v>0</v>
      </c>
      <c r="AB204">
        <v>0</v>
      </c>
      <c r="AC204">
        <v>1</v>
      </c>
      <c r="AD204">
        <v>5</v>
      </c>
      <c r="AE204" t="s">
        <v>36</v>
      </c>
      <c r="AF204" t="s">
        <v>36</v>
      </c>
      <c r="AG204" t="s">
        <v>36</v>
      </c>
      <c r="AH204" t="s">
        <v>36</v>
      </c>
      <c r="AI204" t="s">
        <v>36</v>
      </c>
      <c r="AJ204" t="s">
        <v>36</v>
      </c>
      <c r="AK204">
        <f>_xlfn.XLOOKUP(C204,[1]SPACE_GSS_3!$G:$G,[1]SPACE_GSS_3!$AP:$AP)</f>
        <v>1</v>
      </c>
      <c r="AL204">
        <f>_xlfn.XLOOKUP(C204,[1]SPACE_GSS_3!$G:$G,[1]SPACE_GSS_3!$BM:$BM)</f>
        <v>21.1</v>
      </c>
    </row>
    <row r="205" spans="1:38" x14ac:dyDescent="0.25">
      <c r="A205">
        <v>256</v>
      </c>
      <c r="B205">
        <v>407</v>
      </c>
      <c r="C205">
        <v>408</v>
      </c>
      <c r="D205">
        <v>0</v>
      </c>
      <c r="E205">
        <v>1</v>
      </c>
      <c r="F205">
        <v>1</v>
      </c>
      <c r="G205">
        <v>1</v>
      </c>
      <c r="H205">
        <v>12.9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36</v>
      </c>
      <c r="P205">
        <v>162.89999</v>
      </c>
      <c r="Q205">
        <v>1.6289998999999999</v>
      </c>
      <c r="R205">
        <v>2.653640674</v>
      </c>
      <c r="S205">
        <v>58.299999</v>
      </c>
      <c r="T205">
        <v>21.96981662</v>
      </c>
      <c r="U205">
        <v>-0.1</v>
      </c>
      <c r="V205" t="s">
        <v>36</v>
      </c>
      <c r="W205">
        <v>13.9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>
        <v>163.5</v>
      </c>
      <c r="AF205">
        <v>1.635</v>
      </c>
      <c r="AG205">
        <v>2.673225</v>
      </c>
      <c r="AH205">
        <v>59.700001</v>
      </c>
      <c r="AI205">
        <v>22.332576199999998</v>
      </c>
      <c r="AJ205">
        <v>0</v>
      </c>
      <c r="AK205">
        <f>_xlfn.XLOOKUP(C205,[1]SPACE_GSS_3!$G:$G,[1]SPACE_GSS_3!$AP:$AP)</f>
        <v>0</v>
      </c>
      <c r="AL205">
        <f>_xlfn.XLOOKUP(C205,[1]SPACE_GSS_3!$G:$G,[1]SPACE_GSS_3!$BM:$BM)</f>
        <v>10.55</v>
      </c>
    </row>
    <row r="206" spans="1:38" x14ac:dyDescent="0.25">
      <c r="A206">
        <v>298</v>
      </c>
      <c r="B206">
        <v>409</v>
      </c>
      <c r="C206">
        <v>410</v>
      </c>
      <c r="D206">
        <v>0</v>
      </c>
      <c r="E206">
        <v>1</v>
      </c>
      <c r="F206">
        <v>1</v>
      </c>
      <c r="G206">
        <v>1</v>
      </c>
      <c r="H206">
        <v>11.7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5</v>
      </c>
      <c r="P206">
        <v>146.19999999999999</v>
      </c>
      <c r="Q206">
        <v>1.462</v>
      </c>
      <c r="R206">
        <v>2.1374439999999999</v>
      </c>
      <c r="S206">
        <v>42.200001</v>
      </c>
      <c r="T206">
        <v>19.743207779999999</v>
      </c>
      <c r="U206">
        <v>0</v>
      </c>
      <c r="V206" t="s">
        <v>36</v>
      </c>
      <c r="W206">
        <v>13.2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5</v>
      </c>
      <c r="AE206">
        <v>150.10001</v>
      </c>
      <c r="AF206">
        <v>1.5010000999999999</v>
      </c>
      <c r="AG206">
        <v>2.2530013000000002</v>
      </c>
      <c r="AH206">
        <v>44.900002000000001</v>
      </c>
      <c r="AI206">
        <v>19.928972959999999</v>
      </c>
      <c r="AJ206">
        <v>0</v>
      </c>
      <c r="AK206">
        <f>_xlfn.XLOOKUP(C206,[1]SPACE_GSS_3!$G:$G,[1]SPACE_GSS_3!$AP:$AP)</f>
        <v>3</v>
      </c>
      <c r="AL206">
        <f>_xlfn.XLOOKUP(C206,[1]SPACE_GSS_3!$G:$G,[1]SPACE_GSS_3!$BM:$BM)</f>
        <v>9.3000000000000007</v>
      </c>
    </row>
    <row r="207" spans="1:38" x14ac:dyDescent="0.25">
      <c r="A207">
        <v>247</v>
      </c>
      <c r="B207">
        <v>411</v>
      </c>
      <c r="C207">
        <v>412</v>
      </c>
      <c r="D207">
        <v>0</v>
      </c>
      <c r="E207">
        <v>1</v>
      </c>
      <c r="F207">
        <v>1</v>
      </c>
      <c r="G207">
        <v>0</v>
      </c>
      <c r="H207">
        <v>12.5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4</v>
      </c>
      <c r="P207">
        <v>160</v>
      </c>
      <c r="Q207">
        <v>1.6</v>
      </c>
      <c r="R207">
        <v>2.56</v>
      </c>
      <c r="S207">
        <v>65</v>
      </c>
      <c r="T207">
        <v>25.390625</v>
      </c>
      <c r="U207">
        <v>0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  <c r="AF207" t="s">
        <v>36</v>
      </c>
      <c r="AG207" t="s">
        <v>36</v>
      </c>
      <c r="AH207" t="s">
        <v>36</v>
      </c>
      <c r="AI207" t="s">
        <v>36</v>
      </c>
      <c r="AJ207" t="s">
        <v>36</v>
      </c>
      <c r="AK207">
        <f>_xlfn.XLOOKUP(C207,[1]SPACE_GSS_3!$G:$G,[1]SPACE_GSS_3!$AP:$AP)</f>
        <v>2</v>
      </c>
      <c r="AL207">
        <f>_xlfn.XLOOKUP(C207,[1]SPACE_GSS_3!$G:$G,[1]SPACE_GSS_3!$BM:$BM)</f>
        <v>12.85</v>
      </c>
    </row>
    <row r="208" spans="1:38" x14ac:dyDescent="0.25">
      <c r="A208">
        <v>310</v>
      </c>
      <c r="B208">
        <v>413</v>
      </c>
      <c r="C208">
        <v>414</v>
      </c>
      <c r="D208">
        <v>0</v>
      </c>
      <c r="E208">
        <v>1</v>
      </c>
      <c r="F208">
        <v>0</v>
      </c>
      <c r="G208">
        <v>0</v>
      </c>
      <c r="H208" t="s">
        <v>36</v>
      </c>
      <c r="I208" t="s">
        <v>36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 t="s">
        <v>36</v>
      </c>
      <c r="AF208" t="s">
        <v>36</v>
      </c>
      <c r="AG208" t="s">
        <v>36</v>
      </c>
      <c r="AH208" t="s">
        <v>36</v>
      </c>
      <c r="AI208" t="s">
        <v>36</v>
      </c>
      <c r="AJ208" t="s">
        <v>36</v>
      </c>
      <c r="AK208">
        <f>_xlfn.XLOOKUP(C208,[1]SPACE_GSS_3!$G:$G,[1]SPACE_GSS_3!$AP:$AP)</f>
        <v>2</v>
      </c>
      <c r="AL208">
        <f>_xlfn.XLOOKUP(C208,[1]SPACE_GSS_3!$G:$G,[1]SPACE_GSS_3!$BM:$BM)</f>
        <v>15.4</v>
      </c>
    </row>
    <row r="209" spans="1:38" x14ac:dyDescent="0.25">
      <c r="A209">
        <v>317</v>
      </c>
      <c r="B209">
        <v>416</v>
      </c>
      <c r="C209">
        <v>416</v>
      </c>
      <c r="D209">
        <v>0</v>
      </c>
      <c r="E209">
        <v>1</v>
      </c>
      <c r="F209">
        <v>0</v>
      </c>
      <c r="G209">
        <v>0</v>
      </c>
      <c r="H209" t="s">
        <v>36</v>
      </c>
      <c r="I209" t="s">
        <v>36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 t="s">
        <v>36</v>
      </c>
      <c r="AF209" t="s">
        <v>36</v>
      </c>
      <c r="AG209" t="s">
        <v>36</v>
      </c>
      <c r="AH209" t="s">
        <v>36</v>
      </c>
      <c r="AI209" t="s">
        <v>36</v>
      </c>
      <c r="AJ209" t="s">
        <v>36</v>
      </c>
      <c r="AK209">
        <f>_xlfn.XLOOKUP(C209,[1]SPACE_GSS_3!$G:$G,[1]SPACE_GSS_3!$AP:$AP)</f>
        <v>3</v>
      </c>
      <c r="AL209">
        <f>_xlfn.XLOOKUP(C209,[1]SPACE_GSS_3!$G:$G,[1]SPACE_GSS_3!$BM:$BM)</f>
        <v>34.5</v>
      </c>
    </row>
    <row r="210" spans="1:38" x14ac:dyDescent="0.25">
      <c r="A210">
        <v>257</v>
      </c>
      <c r="B210">
        <v>417</v>
      </c>
      <c r="C210">
        <v>418</v>
      </c>
      <c r="D210">
        <v>0</v>
      </c>
      <c r="E210">
        <v>1</v>
      </c>
      <c r="F210">
        <v>0</v>
      </c>
      <c r="G210">
        <v>1</v>
      </c>
      <c r="H210" t="s">
        <v>36</v>
      </c>
      <c r="I210" t="s">
        <v>36</v>
      </c>
      <c r="J210" t="s">
        <v>36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>
        <v>13.3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5</v>
      </c>
      <c r="AE210">
        <v>165.3</v>
      </c>
      <c r="AF210">
        <v>1.653</v>
      </c>
      <c r="AG210">
        <v>2.7324090000000001</v>
      </c>
      <c r="AH210">
        <v>59</v>
      </c>
      <c r="AI210">
        <v>21.592667859999999</v>
      </c>
      <c r="AJ210">
        <v>0</v>
      </c>
      <c r="AK210">
        <f>_xlfn.XLOOKUP(C210,[1]SPACE_GSS_3!$G:$G,[1]SPACE_GSS_3!$AP:$AP)</f>
        <v>3</v>
      </c>
      <c r="AL210">
        <f>_xlfn.XLOOKUP(C210,[1]SPACE_GSS_3!$G:$G,[1]SPACE_GSS_3!$BM:$BM)</f>
        <v>13.95</v>
      </c>
    </row>
    <row r="211" spans="1:38" x14ac:dyDescent="0.25">
      <c r="A211">
        <v>311</v>
      </c>
      <c r="B211">
        <v>419</v>
      </c>
      <c r="C211">
        <v>420</v>
      </c>
      <c r="D211">
        <v>0</v>
      </c>
      <c r="E211">
        <v>1</v>
      </c>
      <c r="F211">
        <v>1</v>
      </c>
      <c r="G211">
        <v>1</v>
      </c>
      <c r="H211">
        <v>14.5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5</v>
      </c>
      <c r="P211">
        <v>161</v>
      </c>
      <c r="Q211">
        <v>1.61</v>
      </c>
      <c r="R211">
        <v>2.5920999999999998</v>
      </c>
      <c r="S211">
        <v>47.900002000000001</v>
      </c>
      <c r="T211">
        <v>18.479226109999999</v>
      </c>
      <c r="U211">
        <v>0</v>
      </c>
      <c r="V211" t="s">
        <v>36</v>
      </c>
      <c r="W211">
        <v>15.4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5</v>
      </c>
      <c r="AE211">
        <v>162.5</v>
      </c>
      <c r="AF211">
        <v>1.625</v>
      </c>
      <c r="AG211">
        <v>2.640625</v>
      </c>
      <c r="AH211">
        <v>50.700001</v>
      </c>
      <c r="AI211">
        <v>19.200000379999999</v>
      </c>
      <c r="AJ211">
        <v>0</v>
      </c>
      <c r="AK211">
        <f>_xlfn.XLOOKUP(C211,[1]SPACE_GSS_3!$G:$G,[1]SPACE_GSS_3!$AP:$AP)</f>
        <v>3</v>
      </c>
      <c r="AL211">
        <f>_xlfn.XLOOKUP(C211,[1]SPACE_GSS_3!$G:$G,[1]SPACE_GSS_3!$BM:$BM)</f>
        <v>11.25</v>
      </c>
    </row>
    <row r="212" spans="1:38" x14ac:dyDescent="0.25">
      <c r="A212">
        <v>294</v>
      </c>
      <c r="B212">
        <v>421</v>
      </c>
      <c r="C212">
        <v>422</v>
      </c>
      <c r="D212">
        <v>0</v>
      </c>
      <c r="E212">
        <v>1</v>
      </c>
      <c r="F212">
        <v>0</v>
      </c>
      <c r="G212">
        <v>0</v>
      </c>
      <c r="H212" t="s">
        <v>36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  <c r="AI212" t="s">
        <v>36</v>
      </c>
      <c r="AJ212" t="s">
        <v>36</v>
      </c>
      <c r="AK212">
        <f>_xlfn.XLOOKUP(C212,[1]SPACE_GSS_3!$G:$G,[1]SPACE_GSS_3!$AP:$AP)</f>
        <v>2</v>
      </c>
      <c r="AL212">
        <f>_xlfn.XLOOKUP(C212,[1]SPACE_GSS_3!$G:$G,[1]SPACE_GSS_3!$BM:$BM)</f>
        <v>11.3</v>
      </c>
    </row>
    <row r="213" spans="1:38" x14ac:dyDescent="0.25">
      <c r="A213">
        <v>324</v>
      </c>
      <c r="B213">
        <v>423</v>
      </c>
      <c r="C213">
        <v>424</v>
      </c>
      <c r="D213">
        <v>0</v>
      </c>
      <c r="E213">
        <v>1</v>
      </c>
      <c r="F213">
        <v>1</v>
      </c>
      <c r="G213">
        <v>0</v>
      </c>
      <c r="H213">
        <v>14.1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5</v>
      </c>
      <c r="P213">
        <v>177.89999</v>
      </c>
      <c r="Q213">
        <v>1.7789999000000001</v>
      </c>
      <c r="R213">
        <v>3.1648406439999999</v>
      </c>
      <c r="S213">
        <v>90.5</v>
      </c>
      <c r="T213">
        <v>28.595436599999999</v>
      </c>
      <c r="U213">
        <v>0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 t="s">
        <v>36</v>
      </c>
      <c r="AF213" t="s">
        <v>36</v>
      </c>
      <c r="AG213" t="s">
        <v>36</v>
      </c>
      <c r="AH213" t="s">
        <v>36</v>
      </c>
      <c r="AI213" t="s">
        <v>36</v>
      </c>
      <c r="AJ213" t="s">
        <v>36</v>
      </c>
      <c r="AK213">
        <f>_xlfn.XLOOKUP(C213,[1]SPACE_GSS_3!$G:$G,[1]SPACE_GSS_3!$AP:$AP)</f>
        <v>3</v>
      </c>
      <c r="AL213">
        <f>_xlfn.XLOOKUP(C213,[1]SPACE_GSS_3!$G:$G,[1]SPACE_GSS_3!$BM:$BM)</f>
        <v>11.45</v>
      </c>
    </row>
    <row r="214" spans="1:38" x14ac:dyDescent="0.25">
      <c r="A214">
        <v>323</v>
      </c>
      <c r="B214">
        <v>425</v>
      </c>
      <c r="C214">
        <v>426</v>
      </c>
      <c r="D214">
        <v>0</v>
      </c>
      <c r="E214">
        <v>1</v>
      </c>
      <c r="F214">
        <v>1</v>
      </c>
      <c r="G214">
        <v>1</v>
      </c>
      <c r="H214">
        <v>12.2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5</v>
      </c>
      <c r="P214">
        <v>162.39999</v>
      </c>
      <c r="Q214">
        <v>1.6239999000000001</v>
      </c>
      <c r="R214">
        <v>2.6373756749999999</v>
      </c>
      <c r="S214">
        <v>62.299999</v>
      </c>
      <c r="T214">
        <v>23.621966180000001</v>
      </c>
      <c r="U214">
        <v>0</v>
      </c>
      <c r="V214" t="s">
        <v>36</v>
      </c>
      <c r="W214">
        <v>12.8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5</v>
      </c>
      <c r="AE214">
        <v>164.2</v>
      </c>
      <c r="AF214">
        <v>1.6419999999999999</v>
      </c>
      <c r="AG214">
        <v>2.696164</v>
      </c>
      <c r="AH214">
        <v>64.199996999999996</v>
      </c>
      <c r="AI214">
        <v>23.811606789999999</v>
      </c>
      <c r="AJ214">
        <v>0</v>
      </c>
      <c r="AK214">
        <f>_xlfn.XLOOKUP(C214,[1]SPACE_GSS_3!$G:$G,[1]SPACE_GSS_3!$AP:$AP)</f>
        <v>1</v>
      </c>
      <c r="AL214">
        <f>_xlfn.XLOOKUP(C214,[1]SPACE_GSS_3!$G:$G,[1]SPACE_GSS_3!$BM:$BM)</f>
        <v>14.75</v>
      </c>
    </row>
    <row r="215" spans="1:38" x14ac:dyDescent="0.25">
      <c r="A215">
        <v>291</v>
      </c>
      <c r="B215">
        <v>427</v>
      </c>
      <c r="C215">
        <v>428</v>
      </c>
      <c r="D215">
        <v>0</v>
      </c>
      <c r="E215">
        <v>1</v>
      </c>
      <c r="F215">
        <v>1</v>
      </c>
      <c r="G215">
        <v>1</v>
      </c>
      <c r="H215">
        <v>13.2</v>
      </c>
      <c r="I215">
        <v>2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5</v>
      </c>
      <c r="P215">
        <v>166.10001</v>
      </c>
      <c r="Q215">
        <v>1.6610001000000001</v>
      </c>
      <c r="R215">
        <v>2.7589213319999999</v>
      </c>
      <c r="S215">
        <v>60.400002000000001</v>
      </c>
      <c r="T215">
        <v>21.8926148</v>
      </c>
      <c r="U215">
        <v>0.1</v>
      </c>
      <c r="V215" t="s">
        <v>36</v>
      </c>
      <c r="W215">
        <v>13.8</v>
      </c>
      <c r="X215">
        <v>2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5</v>
      </c>
      <c r="AE215">
        <v>168.5</v>
      </c>
      <c r="AF215">
        <v>1.6850000000000001</v>
      </c>
      <c r="AG215">
        <v>2.8392249999999999</v>
      </c>
      <c r="AH215">
        <v>63.599997999999999</v>
      </c>
      <c r="AI215">
        <v>22.4004783</v>
      </c>
      <c r="AJ215">
        <v>0</v>
      </c>
      <c r="AK215">
        <f>_xlfn.XLOOKUP(C215,[1]SPACE_GSS_3!$G:$G,[1]SPACE_GSS_3!$AP:$AP)</f>
        <v>1</v>
      </c>
      <c r="AL215" t="s">
        <v>36</v>
      </c>
    </row>
    <row r="216" spans="1:38" x14ac:dyDescent="0.25">
      <c r="A216">
        <v>295</v>
      </c>
      <c r="B216">
        <v>429</v>
      </c>
      <c r="C216">
        <v>430</v>
      </c>
      <c r="D216">
        <v>0</v>
      </c>
      <c r="E216">
        <v>1</v>
      </c>
      <c r="F216">
        <v>1</v>
      </c>
      <c r="G216">
        <v>1</v>
      </c>
      <c r="H216">
        <v>13.7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5</v>
      </c>
      <c r="P216">
        <v>158</v>
      </c>
      <c r="Q216">
        <v>1.58</v>
      </c>
      <c r="R216">
        <v>2.4964</v>
      </c>
      <c r="S216">
        <v>44.299999</v>
      </c>
      <c r="T216">
        <v>17.7455532</v>
      </c>
      <c r="U216">
        <v>-0.1</v>
      </c>
      <c r="V216" t="s">
        <v>36</v>
      </c>
      <c r="W216">
        <v>14.9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5</v>
      </c>
      <c r="AE216">
        <v>160.5</v>
      </c>
      <c r="AF216">
        <v>1.605</v>
      </c>
      <c r="AG216">
        <v>2.576025</v>
      </c>
      <c r="AH216">
        <v>49.400002000000001</v>
      </c>
      <c r="AI216">
        <v>19.176833299999998</v>
      </c>
      <c r="AJ216">
        <v>0.1</v>
      </c>
      <c r="AK216">
        <f>_xlfn.XLOOKUP(C216,[1]SPACE_GSS_3!$G:$G,[1]SPACE_GSS_3!$AP:$AP)</f>
        <v>0</v>
      </c>
      <c r="AL216">
        <f>_xlfn.XLOOKUP(C216,[1]SPACE_GSS_3!$G:$G,[1]SPACE_GSS_3!$BM:$BM)</f>
        <v>3.55</v>
      </c>
    </row>
    <row r="217" spans="1:38" x14ac:dyDescent="0.25">
      <c r="A217">
        <v>296</v>
      </c>
      <c r="B217">
        <v>431</v>
      </c>
      <c r="C217">
        <v>432</v>
      </c>
      <c r="D217">
        <v>0</v>
      </c>
      <c r="E217">
        <v>1</v>
      </c>
      <c r="F217">
        <v>1</v>
      </c>
      <c r="G217">
        <v>1</v>
      </c>
      <c r="H217">
        <v>12.2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5</v>
      </c>
      <c r="P217">
        <v>158.69999999999999</v>
      </c>
      <c r="Q217">
        <v>1.587</v>
      </c>
      <c r="R217">
        <v>2.5185689999999998</v>
      </c>
      <c r="S217">
        <v>42.299999</v>
      </c>
      <c r="T217">
        <v>16.795251189999998</v>
      </c>
      <c r="U217">
        <v>0</v>
      </c>
      <c r="V217" t="s">
        <v>36</v>
      </c>
      <c r="W217">
        <v>13.3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5</v>
      </c>
      <c r="AE217">
        <v>161.5</v>
      </c>
      <c r="AF217">
        <v>1.615</v>
      </c>
      <c r="AG217">
        <v>2.608225</v>
      </c>
      <c r="AH217">
        <v>46.599997999999999</v>
      </c>
      <c r="AI217">
        <v>17.866555989999998</v>
      </c>
      <c r="AJ217">
        <v>0</v>
      </c>
      <c r="AK217">
        <f>_xlfn.XLOOKUP(C217,[1]SPACE_GSS_3!$G:$G,[1]SPACE_GSS_3!$AP:$AP)</f>
        <v>0</v>
      </c>
      <c r="AL217">
        <f>_xlfn.XLOOKUP(C217,[1]SPACE_GSS_3!$G:$G,[1]SPACE_GSS_3!$BM:$BM)</f>
        <v>12.05</v>
      </c>
    </row>
    <row r="218" spans="1:38" x14ac:dyDescent="0.25">
      <c r="A218">
        <v>264</v>
      </c>
      <c r="B218">
        <v>433</v>
      </c>
      <c r="C218">
        <v>434</v>
      </c>
      <c r="D218">
        <v>0</v>
      </c>
      <c r="E218">
        <v>1</v>
      </c>
      <c r="F218">
        <v>0</v>
      </c>
      <c r="G218">
        <v>0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  <c r="AI218" t="s">
        <v>36</v>
      </c>
      <c r="AJ218" t="s">
        <v>36</v>
      </c>
      <c r="AK218">
        <f>_xlfn.XLOOKUP(C218,[1]SPACE_GSS_3!$G:$G,[1]SPACE_GSS_3!$AP:$AP)</f>
        <v>0</v>
      </c>
      <c r="AL218">
        <f>_xlfn.XLOOKUP(C218,[1]SPACE_GSS_3!$G:$G,[1]SPACE_GSS_3!$BM:$BM)</f>
        <v>7.2</v>
      </c>
    </row>
    <row r="219" spans="1:38" x14ac:dyDescent="0.25">
      <c r="A219">
        <v>329</v>
      </c>
      <c r="B219">
        <v>435</v>
      </c>
      <c r="C219">
        <v>436</v>
      </c>
      <c r="D219">
        <v>0</v>
      </c>
      <c r="E219">
        <v>1</v>
      </c>
      <c r="F219">
        <v>0</v>
      </c>
      <c r="G219">
        <v>0</v>
      </c>
      <c r="H219" t="s">
        <v>36</v>
      </c>
      <c r="I219" t="s">
        <v>36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  <c r="AI219" t="s">
        <v>36</v>
      </c>
      <c r="AJ219" t="s">
        <v>36</v>
      </c>
      <c r="AK219">
        <f>_xlfn.XLOOKUP(C219,[1]SPACE_GSS_3!$G:$G,[1]SPACE_GSS_3!$AP:$AP)</f>
        <v>1</v>
      </c>
      <c r="AL219">
        <f>_xlfn.XLOOKUP(C219,[1]SPACE_GSS_3!$G:$G,[1]SPACE_GSS_3!$BM:$BM)</f>
        <v>14</v>
      </c>
    </row>
    <row r="220" spans="1:38" x14ac:dyDescent="0.25">
      <c r="A220">
        <v>333</v>
      </c>
      <c r="B220">
        <v>437</v>
      </c>
      <c r="C220">
        <v>438</v>
      </c>
      <c r="D220">
        <v>0</v>
      </c>
      <c r="E220">
        <v>1</v>
      </c>
      <c r="F220">
        <v>1</v>
      </c>
      <c r="G220">
        <v>1</v>
      </c>
      <c r="H220">
        <v>14.2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5</v>
      </c>
      <c r="P220">
        <v>169.10001</v>
      </c>
      <c r="Q220">
        <v>1.6910000999999999</v>
      </c>
      <c r="R220">
        <v>2.8594813380000002</v>
      </c>
      <c r="S220">
        <v>62.200001</v>
      </c>
      <c r="T220">
        <v>21.752196860000002</v>
      </c>
      <c r="U220">
        <v>0</v>
      </c>
      <c r="V220" t="s">
        <v>36</v>
      </c>
      <c r="W220">
        <v>15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5</v>
      </c>
      <c r="AE220">
        <v>172</v>
      </c>
      <c r="AF220">
        <v>1.72</v>
      </c>
      <c r="AG220">
        <v>2.9584000000000001</v>
      </c>
      <c r="AH220">
        <v>66</v>
      </c>
      <c r="AI220">
        <v>22.309356409999999</v>
      </c>
      <c r="AJ220">
        <v>-0.1</v>
      </c>
      <c r="AK220">
        <f>_xlfn.XLOOKUP(C220,[1]SPACE_GSS_3!$G:$G,[1]SPACE_GSS_3!$AP:$AP)</f>
        <v>3</v>
      </c>
      <c r="AL220">
        <f>_xlfn.XLOOKUP(C220,[1]SPACE_GSS_3!$G:$G,[1]SPACE_GSS_3!$BM:$BM)</f>
        <v>16.100000000000001</v>
      </c>
    </row>
    <row r="221" spans="1:38" x14ac:dyDescent="0.25">
      <c r="A221">
        <v>302</v>
      </c>
      <c r="B221">
        <v>439</v>
      </c>
      <c r="C221">
        <v>440</v>
      </c>
      <c r="D221">
        <v>0</v>
      </c>
      <c r="E221">
        <v>1</v>
      </c>
      <c r="F221">
        <v>0</v>
      </c>
      <c r="G221">
        <v>0</v>
      </c>
      <c r="H221" t="s">
        <v>36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  <c r="AI221" t="s">
        <v>36</v>
      </c>
      <c r="AJ221" t="s">
        <v>36</v>
      </c>
      <c r="AK221">
        <f>_xlfn.XLOOKUP(C221,[1]SPACE_GSS_3!$G:$G,[1]SPACE_GSS_3!$AP:$AP)</f>
        <v>2</v>
      </c>
      <c r="AL221">
        <f>_xlfn.XLOOKUP(C221,[1]SPACE_GSS_3!$G:$G,[1]SPACE_GSS_3!$BM:$BM)</f>
        <v>17.649999999999999</v>
      </c>
    </row>
    <row r="222" spans="1:38" x14ac:dyDescent="0.25">
      <c r="A222">
        <v>326</v>
      </c>
      <c r="B222">
        <v>441</v>
      </c>
      <c r="C222">
        <v>442</v>
      </c>
      <c r="D222">
        <v>0</v>
      </c>
      <c r="E222">
        <v>1</v>
      </c>
      <c r="F222">
        <v>1</v>
      </c>
      <c r="G222">
        <v>1</v>
      </c>
      <c r="H222">
        <v>14.7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5</v>
      </c>
      <c r="P222">
        <v>176.39999</v>
      </c>
      <c r="Q222">
        <v>1.7639999</v>
      </c>
      <c r="R222">
        <v>3.1116956469999999</v>
      </c>
      <c r="S222">
        <v>57.900002000000001</v>
      </c>
      <c r="T222">
        <v>18.607218880000001</v>
      </c>
      <c r="U222">
        <v>0</v>
      </c>
      <c r="V222" t="s">
        <v>36</v>
      </c>
      <c r="W222">
        <v>15.4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5</v>
      </c>
      <c r="AE222">
        <v>179.39999</v>
      </c>
      <c r="AF222">
        <v>1.7939999</v>
      </c>
      <c r="AG222">
        <v>3.2184356410000001</v>
      </c>
      <c r="AH222">
        <v>61.700001</v>
      </c>
      <c r="AI222">
        <v>19.170804660000002</v>
      </c>
      <c r="AJ222">
        <v>0.1</v>
      </c>
      <c r="AK222">
        <f>_xlfn.XLOOKUP(C222,[1]SPACE_GSS_3!$G:$G,[1]SPACE_GSS_3!$AP:$AP)</f>
        <v>2</v>
      </c>
      <c r="AL222">
        <f>_xlfn.XLOOKUP(C222,[1]SPACE_GSS_3!$G:$G,[1]SPACE_GSS_3!$BM:$BM)</f>
        <v>16.8</v>
      </c>
    </row>
    <row r="223" spans="1:38" x14ac:dyDescent="0.25">
      <c r="A223">
        <v>327</v>
      </c>
      <c r="B223">
        <v>443</v>
      </c>
      <c r="C223">
        <v>444</v>
      </c>
      <c r="D223">
        <v>0</v>
      </c>
      <c r="E223">
        <v>1</v>
      </c>
      <c r="F223">
        <v>1</v>
      </c>
      <c r="G223">
        <v>1</v>
      </c>
      <c r="H223">
        <v>12.9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5</v>
      </c>
      <c r="P223">
        <v>173.60001</v>
      </c>
      <c r="Q223">
        <v>1.7360001</v>
      </c>
      <c r="R223">
        <v>3.0136963470000002</v>
      </c>
      <c r="S223">
        <v>54</v>
      </c>
      <c r="T223">
        <v>17.918195390000001</v>
      </c>
      <c r="U223">
        <v>0</v>
      </c>
      <c r="V223" t="s">
        <v>36</v>
      </c>
      <c r="W223">
        <v>13.7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173</v>
      </c>
      <c r="AF223">
        <v>1.73</v>
      </c>
      <c r="AG223">
        <v>2.9929000000000001</v>
      </c>
      <c r="AH223">
        <v>58</v>
      </c>
      <c r="AI223">
        <v>19.379197430000001</v>
      </c>
      <c r="AJ223">
        <v>0.1</v>
      </c>
      <c r="AK223">
        <f>_xlfn.XLOOKUP(C223,[1]SPACE_GSS_3!$G:$G,[1]SPACE_GSS_3!$AP:$AP)</f>
        <v>0</v>
      </c>
      <c r="AL223">
        <f>_xlfn.XLOOKUP(C223,[1]SPACE_GSS_3!$G:$G,[1]SPACE_GSS_3!$BM:$BM)</f>
        <v>17.3</v>
      </c>
    </row>
    <row r="224" spans="1:38" x14ac:dyDescent="0.25">
      <c r="A224">
        <v>312</v>
      </c>
      <c r="B224">
        <v>445</v>
      </c>
      <c r="C224">
        <v>446</v>
      </c>
      <c r="D224">
        <v>0</v>
      </c>
      <c r="E224">
        <v>1</v>
      </c>
      <c r="F224">
        <v>1</v>
      </c>
      <c r="G224">
        <v>1</v>
      </c>
      <c r="H224">
        <v>14.2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5</v>
      </c>
      <c r="P224">
        <v>163.80000000000001</v>
      </c>
      <c r="Q224">
        <v>1.6379999999999999</v>
      </c>
      <c r="R224">
        <v>2.6830440000000002</v>
      </c>
      <c r="S224">
        <v>63.900002000000001</v>
      </c>
      <c r="T224">
        <v>23.816233350000001</v>
      </c>
      <c r="U224">
        <v>0</v>
      </c>
      <c r="V224" t="s">
        <v>36</v>
      </c>
      <c r="W224">
        <v>15.1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5</v>
      </c>
      <c r="AE224">
        <v>163.5</v>
      </c>
      <c r="AF224">
        <v>1.635</v>
      </c>
      <c r="AG224">
        <v>2.673225</v>
      </c>
      <c r="AH224">
        <v>68.5</v>
      </c>
      <c r="AI224">
        <v>25.6244798</v>
      </c>
      <c r="AJ224">
        <v>0</v>
      </c>
      <c r="AK224">
        <f>_xlfn.XLOOKUP(C224,[1]SPACE_GSS_3!$G:$G,[1]SPACE_GSS_3!$AP:$AP)</f>
        <v>0</v>
      </c>
      <c r="AL224">
        <f>_xlfn.XLOOKUP(C224,[1]SPACE_GSS_3!$G:$G,[1]SPACE_GSS_3!$BM:$BM)</f>
        <v>22.25</v>
      </c>
    </row>
    <row r="225" spans="1:38" x14ac:dyDescent="0.25">
      <c r="A225">
        <v>306</v>
      </c>
      <c r="B225">
        <v>447</v>
      </c>
      <c r="C225">
        <v>448</v>
      </c>
      <c r="D225">
        <v>0</v>
      </c>
      <c r="E225">
        <v>1</v>
      </c>
      <c r="F225">
        <v>0</v>
      </c>
      <c r="G225">
        <v>0</v>
      </c>
      <c r="H225" t="s">
        <v>36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 t="s">
        <v>36</v>
      </c>
      <c r="AF225" t="s">
        <v>36</v>
      </c>
      <c r="AG225" t="s">
        <v>36</v>
      </c>
      <c r="AH225" t="s">
        <v>36</v>
      </c>
      <c r="AI225" t="s">
        <v>36</v>
      </c>
      <c r="AJ225" t="s">
        <v>36</v>
      </c>
      <c r="AK225">
        <f>_xlfn.XLOOKUP(C225,[1]SPACE_GSS_3!$G:$G,[1]SPACE_GSS_3!$AP:$AP)</f>
        <v>2</v>
      </c>
      <c r="AL225">
        <f>_xlfn.XLOOKUP(C225,[1]SPACE_GSS_3!$G:$G,[1]SPACE_GSS_3!$BM:$BM)</f>
        <v>15.05</v>
      </c>
    </row>
    <row r="226" spans="1:38" x14ac:dyDescent="0.25">
      <c r="A226">
        <v>305</v>
      </c>
      <c r="B226">
        <v>449</v>
      </c>
      <c r="C226">
        <v>450</v>
      </c>
      <c r="D226">
        <v>0</v>
      </c>
      <c r="E226">
        <v>1</v>
      </c>
      <c r="F226">
        <v>0</v>
      </c>
      <c r="G226">
        <v>0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  <c r="AI226" t="s">
        <v>36</v>
      </c>
      <c r="AJ226" t="s">
        <v>36</v>
      </c>
      <c r="AK226">
        <f>_xlfn.XLOOKUP(C226,[1]SPACE_GSS_3!$G:$G,[1]SPACE_GSS_3!$AP:$AP)</f>
        <v>2</v>
      </c>
      <c r="AL226">
        <f>_xlfn.XLOOKUP(C226,[1]SPACE_GSS_3!$G:$G,[1]SPACE_GSS_3!$BM:$BM)</f>
        <v>13.75</v>
      </c>
    </row>
    <row r="227" spans="1:38" x14ac:dyDescent="0.25">
      <c r="A227">
        <v>325</v>
      </c>
      <c r="B227">
        <v>451</v>
      </c>
      <c r="C227">
        <v>452</v>
      </c>
      <c r="D227">
        <v>0</v>
      </c>
      <c r="E227">
        <v>1</v>
      </c>
      <c r="F227">
        <v>1</v>
      </c>
      <c r="G227">
        <v>1</v>
      </c>
      <c r="H227">
        <v>13.9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5</v>
      </c>
      <c r="P227">
        <v>158.60001</v>
      </c>
      <c r="Q227">
        <v>1.5860000999999999</v>
      </c>
      <c r="R227">
        <v>2.515396317</v>
      </c>
      <c r="S227">
        <v>48.400002000000001</v>
      </c>
      <c r="T227">
        <v>19.241501499999998</v>
      </c>
      <c r="U227">
        <v>0</v>
      </c>
      <c r="V227" t="s">
        <v>36</v>
      </c>
      <c r="W227">
        <v>14.5</v>
      </c>
      <c r="X227">
        <v>2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5</v>
      </c>
      <c r="AE227">
        <v>159.39999</v>
      </c>
      <c r="AF227">
        <v>1.5939999</v>
      </c>
      <c r="AG227">
        <v>2.5408356809999999</v>
      </c>
      <c r="AH227">
        <v>46.799999</v>
      </c>
      <c r="AI227">
        <v>18.41913641</v>
      </c>
      <c r="AJ227">
        <v>0</v>
      </c>
      <c r="AK227">
        <f>_xlfn.XLOOKUP(C227,[1]SPACE_GSS_3!$G:$G,[1]SPACE_GSS_3!$AP:$AP)</f>
        <v>1</v>
      </c>
      <c r="AL227">
        <f>_xlfn.XLOOKUP(C227,[1]SPACE_GSS_3!$G:$G,[1]SPACE_GSS_3!$BM:$BM)</f>
        <v>32.85</v>
      </c>
    </row>
    <row r="228" spans="1:38" x14ac:dyDescent="0.25">
      <c r="A228">
        <v>316</v>
      </c>
      <c r="B228">
        <v>453</v>
      </c>
      <c r="C228">
        <v>454</v>
      </c>
      <c r="D228">
        <v>0</v>
      </c>
      <c r="E228">
        <v>1</v>
      </c>
      <c r="F228">
        <v>1</v>
      </c>
      <c r="G228">
        <v>1</v>
      </c>
      <c r="H228">
        <v>13.2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4</v>
      </c>
      <c r="P228">
        <v>160.19999999999999</v>
      </c>
      <c r="Q228">
        <v>1.6020000000000001</v>
      </c>
      <c r="R228">
        <v>2.5664039999999999</v>
      </c>
      <c r="S228">
        <v>48</v>
      </c>
      <c r="T228">
        <v>18.703212740000001</v>
      </c>
      <c r="U228">
        <v>0</v>
      </c>
      <c r="V228" t="s">
        <v>36</v>
      </c>
      <c r="W228">
        <v>14.1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5</v>
      </c>
      <c r="AE228">
        <v>162.39999</v>
      </c>
      <c r="AF228">
        <v>1.6239999000000001</v>
      </c>
      <c r="AG228">
        <v>2.6373756749999999</v>
      </c>
      <c r="AH228">
        <v>49.5</v>
      </c>
      <c r="AI228">
        <v>18.768657220000001</v>
      </c>
      <c r="AJ228">
        <v>0</v>
      </c>
      <c r="AK228">
        <f>_xlfn.XLOOKUP(C228,[1]SPACE_GSS_3!$G:$G,[1]SPACE_GSS_3!$AP:$AP)</f>
        <v>1</v>
      </c>
      <c r="AL228">
        <f>_xlfn.XLOOKUP(C228,[1]SPACE_GSS_3!$G:$G,[1]SPACE_GSS_3!$BM:$BM)</f>
        <v>10.9</v>
      </c>
    </row>
    <row r="229" spans="1:38" x14ac:dyDescent="0.25">
      <c r="A229">
        <v>328</v>
      </c>
      <c r="B229">
        <v>455</v>
      </c>
      <c r="C229">
        <v>456</v>
      </c>
      <c r="D229">
        <v>0</v>
      </c>
      <c r="E229">
        <v>1</v>
      </c>
      <c r="F229">
        <v>1</v>
      </c>
      <c r="G229">
        <v>1</v>
      </c>
      <c r="H229">
        <v>13.5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5</v>
      </c>
      <c r="P229">
        <v>158.19999999999999</v>
      </c>
      <c r="Q229">
        <v>1.5820000000000001</v>
      </c>
      <c r="R229">
        <v>2.5027240000000002</v>
      </c>
      <c r="S229">
        <v>45.400002000000001</v>
      </c>
      <c r="T229">
        <v>18.140235199999999</v>
      </c>
      <c r="U229">
        <v>0</v>
      </c>
      <c r="V229" t="s">
        <v>36</v>
      </c>
      <c r="W229">
        <v>14.4</v>
      </c>
      <c r="X229" t="s">
        <v>36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36</v>
      </c>
      <c r="AE229">
        <v>160.30000000000001</v>
      </c>
      <c r="AF229">
        <v>1.603</v>
      </c>
      <c r="AG229">
        <v>2.5696089999999998</v>
      </c>
      <c r="AH229">
        <v>44.799999</v>
      </c>
      <c r="AI229">
        <v>17.434558719999998</v>
      </c>
      <c r="AJ229">
        <v>0.1</v>
      </c>
      <c r="AK229">
        <f>_xlfn.XLOOKUP(C229,[1]SPACE_GSS_3!$G:$G,[1]SPACE_GSS_3!$AP:$AP)</f>
        <v>1</v>
      </c>
      <c r="AL229">
        <f>_xlfn.XLOOKUP(C229,[1]SPACE_GSS_3!$G:$G,[1]SPACE_GSS_3!$BM:$BM)</f>
        <v>13.6</v>
      </c>
    </row>
    <row r="230" spans="1:38" x14ac:dyDescent="0.25">
      <c r="A230">
        <v>331</v>
      </c>
      <c r="B230">
        <v>457</v>
      </c>
      <c r="C230">
        <v>458</v>
      </c>
      <c r="D230">
        <v>0</v>
      </c>
      <c r="E230">
        <v>1</v>
      </c>
      <c r="F230">
        <v>1</v>
      </c>
      <c r="G230">
        <v>1</v>
      </c>
      <c r="H230">
        <v>13</v>
      </c>
      <c r="I230" t="s">
        <v>36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36</v>
      </c>
      <c r="P230">
        <v>158.5</v>
      </c>
      <c r="Q230">
        <v>1.585</v>
      </c>
      <c r="R230">
        <v>2.5122249999999999</v>
      </c>
      <c r="S230">
        <v>66.400002000000001</v>
      </c>
      <c r="T230">
        <v>26.430754409999999</v>
      </c>
      <c r="U230">
        <v>-0.1</v>
      </c>
      <c r="V230" t="s">
        <v>36</v>
      </c>
      <c r="W230">
        <v>14.1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5</v>
      </c>
      <c r="AE230">
        <v>161</v>
      </c>
      <c r="AF230">
        <v>1.61</v>
      </c>
      <c r="AG230">
        <v>2.5920999999999998</v>
      </c>
      <c r="AH230">
        <v>79.900002000000001</v>
      </c>
      <c r="AI230">
        <v>30.824428839999999</v>
      </c>
      <c r="AJ230">
        <v>-0.60000001999999997</v>
      </c>
      <c r="AK230">
        <f>_xlfn.XLOOKUP(C230,[1]SPACE_GSS_3!$G:$G,[1]SPACE_GSS_3!$AP:$AP)</f>
        <v>1</v>
      </c>
      <c r="AL230">
        <f>_xlfn.XLOOKUP(C230,[1]SPACE_GSS_3!$G:$G,[1]SPACE_GSS_3!$BM:$BM)</f>
        <v>8.8000000000000007</v>
      </c>
    </row>
    <row r="231" spans="1:38" x14ac:dyDescent="0.25">
      <c r="A231">
        <v>330</v>
      </c>
      <c r="B231">
        <v>459</v>
      </c>
      <c r="C231">
        <v>460</v>
      </c>
      <c r="D231">
        <v>0</v>
      </c>
      <c r="E231">
        <v>1</v>
      </c>
      <c r="F231">
        <v>1</v>
      </c>
      <c r="G231">
        <v>1</v>
      </c>
      <c r="H231">
        <v>14.9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  <c r="P231">
        <v>160</v>
      </c>
      <c r="Q231">
        <v>1.6</v>
      </c>
      <c r="R231">
        <v>2.56</v>
      </c>
      <c r="S231">
        <v>58.099997999999999</v>
      </c>
      <c r="T231">
        <v>22.695311719999999</v>
      </c>
      <c r="U231">
        <v>-0.1</v>
      </c>
      <c r="V231" t="s">
        <v>36</v>
      </c>
      <c r="W231">
        <v>16.100000000000001</v>
      </c>
      <c r="X231" t="s">
        <v>36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36</v>
      </c>
      <c r="AE231">
        <v>163.39999</v>
      </c>
      <c r="AF231">
        <v>1.6339999000000001</v>
      </c>
      <c r="AG231">
        <v>2.669955673</v>
      </c>
      <c r="AH231">
        <v>65.5</v>
      </c>
      <c r="AI231">
        <v>24.532242490000002</v>
      </c>
      <c r="AJ231">
        <v>0</v>
      </c>
      <c r="AK231">
        <f>_xlfn.XLOOKUP(C231,[1]SPACE_GSS_3!$G:$G,[1]SPACE_GSS_3!$AP:$AP)</f>
        <v>0</v>
      </c>
      <c r="AL231">
        <f>_xlfn.XLOOKUP(C231,[1]SPACE_GSS_3!$G:$G,[1]SPACE_GSS_3!$BM:$BM)</f>
        <v>6</v>
      </c>
    </row>
    <row r="232" spans="1:38" x14ac:dyDescent="0.25">
      <c r="A232">
        <v>337</v>
      </c>
      <c r="B232">
        <v>461</v>
      </c>
      <c r="C232">
        <v>462</v>
      </c>
      <c r="D232">
        <v>0</v>
      </c>
      <c r="E232">
        <v>1</v>
      </c>
      <c r="F232">
        <v>0</v>
      </c>
      <c r="G232">
        <v>0</v>
      </c>
      <c r="H232">
        <v>0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  <c r="AE232" t="s">
        <v>36</v>
      </c>
      <c r="AF232" t="s">
        <v>36</v>
      </c>
      <c r="AG232" t="s">
        <v>36</v>
      </c>
      <c r="AH232" t="s">
        <v>36</v>
      </c>
      <c r="AI232" t="s">
        <v>36</v>
      </c>
      <c r="AJ232" t="s">
        <v>36</v>
      </c>
      <c r="AK232">
        <f>_xlfn.XLOOKUP(C232,[1]SPACE_GSS_3!$G:$G,[1]SPACE_GSS_3!$AP:$AP)</f>
        <v>1</v>
      </c>
      <c r="AL232">
        <f>_xlfn.XLOOKUP(C232,[1]SPACE_GSS_3!$G:$G,[1]SPACE_GSS_3!$BM:$BM)</f>
        <v>8.4</v>
      </c>
    </row>
    <row r="233" spans="1:38" x14ac:dyDescent="0.25">
      <c r="A233">
        <v>322</v>
      </c>
      <c r="B233">
        <v>463</v>
      </c>
      <c r="C233">
        <v>464</v>
      </c>
      <c r="D233">
        <v>0</v>
      </c>
      <c r="E233">
        <v>1</v>
      </c>
      <c r="F233">
        <v>1</v>
      </c>
      <c r="G233">
        <v>1</v>
      </c>
      <c r="H233">
        <v>13.2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4</v>
      </c>
      <c r="P233">
        <v>154.5</v>
      </c>
      <c r="Q233">
        <v>1.5449999999999999</v>
      </c>
      <c r="R233">
        <v>2.387025</v>
      </c>
      <c r="S233">
        <v>41.799999</v>
      </c>
      <c r="T233">
        <v>17.511336920000002</v>
      </c>
      <c r="U233">
        <v>0</v>
      </c>
      <c r="V233" t="s">
        <v>36</v>
      </c>
      <c r="W233">
        <v>14.1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>
        <v>155</v>
      </c>
      <c r="AF233">
        <v>1.55</v>
      </c>
      <c r="AG233">
        <v>2.4024999999999999</v>
      </c>
      <c r="AH233">
        <v>42.900002000000001</v>
      </c>
      <c r="AI233">
        <v>17.85640042</v>
      </c>
      <c r="AJ233">
        <v>0</v>
      </c>
      <c r="AK233">
        <f>_xlfn.XLOOKUP(C233,[1]SPACE_GSS_3!$G:$G,[1]SPACE_GSS_3!$AP:$AP)</f>
        <v>3</v>
      </c>
      <c r="AL233">
        <f>_xlfn.XLOOKUP(C233,[1]SPACE_GSS_3!$G:$G,[1]SPACE_GSS_3!$BM:$BM)</f>
        <v>20.25</v>
      </c>
    </row>
    <row r="234" spans="1:38" x14ac:dyDescent="0.25">
      <c r="A234">
        <v>334</v>
      </c>
      <c r="B234">
        <v>465</v>
      </c>
      <c r="C234">
        <v>466</v>
      </c>
      <c r="D234">
        <v>0</v>
      </c>
      <c r="E234">
        <v>1</v>
      </c>
      <c r="F234">
        <v>1</v>
      </c>
      <c r="G234">
        <v>1</v>
      </c>
      <c r="H234">
        <v>12.8</v>
      </c>
      <c r="I234" t="s">
        <v>36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36</v>
      </c>
      <c r="P234">
        <v>158.39999</v>
      </c>
      <c r="Q234">
        <v>1.5839999</v>
      </c>
      <c r="R234">
        <v>2.5090556830000001</v>
      </c>
      <c r="S234">
        <v>63.400002000000001</v>
      </c>
      <c r="T234">
        <v>25.26847149</v>
      </c>
      <c r="U234">
        <v>0.1</v>
      </c>
      <c r="V234" t="s">
        <v>36</v>
      </c>
      <c r="W234">
        <v>13.9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4</v>
      </c>
      <c r="AE234">
        <v>158.5</v>
      </c>
      <c r="AF234">
        <v>1.585</v>
      </c>
      <c r="AG234">
        <v>2.5122249999999999</v>
      </c>
      <c r="AH234">
        <v>63.700001</v>
      </c>
      <c r="AI234">
        <v>25.35600951</v>
      </c>
      <c r="AJ234">
        <v>-0.1</v>
      </c>
      <c r="AK234">
        <f>_xlfn.XLOOKUP(C234,[1]SPACE_GSS_3!$G:$G,[1]SPACE_GSS_3!$AP:$AP)</f>
        <v>1</v>
      </c>
      <c r="AL234">
        <f>_xlfn.XLOOKUP(C234,[1]SPACE_GSS_3!$G:$G,[1]SPACE_GSS_3!$BM:$BM)</f>
        <v>16.149999999999999</v>
      </c>
    </row>
    <row r="235" spans="1:38" x14ac:dyDescent="0.25">
      <c r="A235">
        <v>344</v>
      </c>
      <c r="B235">
        <v>467</v>
      </c>
      <c r="C235">
        <v>468</v>
      </c>
      <c r="D235">
        <v>0</v>
      </c>
      <c r="E235">
        <v>1</v>
      </c>
      <c r="F235">
        <v>0</v>
      </c>
      <c r="G235">
        <v>0</v>
      </c>
      <c r="H235" t="s">
        <v>36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36</v>
      </c>
      <c r="AF235" t="s">
        <v>36</v>
      </c>
      <c r="AG235" t="s">
        <v>36</v>
      </c>
      <c r="AH235" t="s">
        <v>36</v>
      </c>
      <c r="AI235" t="s">
        <v>36</v>
      </c>
      <c r="AJ235" t="s">
        <v>36</v>
      </c>
      <c r="AK235">
        <f>_xlfn.XLOOKUP(C235,[1]SPACE_GSS_3!$G:$G,[1]SPACE_GSS_3!$AP:$AP)</f>
        <v>1</v>
      </c>
      <c r="AL235">
        <f>_xlfn.XLOOKUP(C235,[1]SPACE_GSS_3!$G:$G,[1]SPACE_GSS_3!$BM:$BM)</f>
        <v>4.6500000000000004</v>
      </c>
    </row>
    <row r="236" spans="1:38" x14ac:dyDescent="0.25">
      <c r="A236">
        <v>343</v>
      </c>
      <c r="B236">
        <v>469</v>
      </c>
      <c r="C236">
        <v>470</v>
      </c>
      <c r="D236">
        <v>0</v>
      </c>
      <c r="E236">
        <v>1</v>
      </c>
      <c r="F236">
        <v>1</v>
      </c>
      <c r="G236">
        <v>0</v>
      </c>
      <c r="H236">
        <v>13.6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4</v>
      </c>
      <c r="P236">
        <v>180.10001</v>
      </c>
      <c r="Q236">
        <v>1.8010001</v>
      </c>
      <c r="R236">
        <v>3.24360136</v>
      </c>
      <c r="S236">
        <v>93.599997999999999</v>
      </c>
      <c r="T236">
        <v>28.856813030000001</v>
      </c>
      <c r="U236">
        <v>0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  <c r="AI236" t="s">
        <v>36</v>
      </c>
      <c r="AJ236" t="s">
        <v>36</v>
      </c>
      <c r="AK236">
        <f>_xlfn.XLOOKUP(C236,[1]SPACE_GSS_3!$G:$G,[1]SPACE_GSS_3!$AP:$AP)</f>
        <v>0</v>
      </c>
      <c r="AL236">
        <f>_xlfn.XLOOKUP(C236,[1]SPACE_GSS_3!$G:$G,[1]SPACE_GSS_3!$BM:$BM)</f>
        <v>24.35</v>
      </c>
    </row>
    <row r="237" spans="1:38" x14ac:dyDescent="0.25">
      <c r="A237">
        <v>315</v>
      </c>
      <c r="B237">
        <v>471</v>
      </c>
      <c r="C237">
        <v>472</v>
      </c>
      <c r="D237">
        <v>0</v>
      </c>
      <c r="E237">
        <v>1</v>
      </c>
      <c r="F237">
        <v>0</v>
      </c>
      <c r="G237">
        <v>0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  <c r="AG237" t="s">
        <v>36</v>
      </c>
      <c r="AH237" t="s">
        <v>36</v>
      </c>
      <c r="AI237" t="s">
        <v>36</v>
      </c>
      <c r="AJ237" t="s">
        <v>36</v>
      </c>
      <c r="AK237">
        <f>_xlfn.XLOOKUP(C237,[1]SPACE_GSS_3!$G:$G,[1]SPACE_GSS_3!$AP:$AP)</f>
        <v>1</v>
      </c>
      <c r="AL237">
        <f>_xlfn.XLOOKUP(C237,[1]SPACE_GSS_3!$G:$G,[1]SPACE_GSS_3!$BM:$BM)</f>
        <v>13.15</v>
      </c>
    </row>
    <row r="238" spans="1:38" x14ac:dyDescent="0.25">
      <c r="A238">
        <v>339</v>
      </c>
      <c r="B238">
        <v>473</v>
      </c>
      <c r="C238">
        <v>474</v>
      </c>
      <c r="D238">
        <v>0</v>
      </c>
      <c r="E238">
        <v>1</v>
      </c>
      <c r="F238">
        <v>1</v>
      </c>
      <c r="G238">
        <v>0</v>
      </c>
      <c r="H238">
        <v>13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5</v>
      </c>
      <c r="P238">
        <v>166.5</v>
      </c>
      <c r="Q238">
        <v>1.665</v>
      </c>
      <c r="R238">
        <v>2.7722250000000002</v>
      </c>
      <c r="S238">
        <v>51.799999</v>
      </c>
      <c r="T238">
        <v>18.685351659999998</v>
      </c>
      <c r="U238">
        <v>0.1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  <c r="AI238" t="s">
        <v>36</v>
      </c>
      <c r="AJ238" t="s">
        <v>36</v>
      </c>
      <c r="AK238">
        <f>_xlfn.XLOOKUP(C238,[1]SPACE_GSS_3!$G:$G,[1]SPACE_GSS_3!$AP:$AP)</f>
        <v>3</v>
      </c>
      <c r="AL238">
        <f>_xlfn.XLOOKUP(C238,[1]SPACE_GSS_3!$G:$G,[1]SPACE_GSS_3!$BM:$BM)</f>
        <v>15.7</v>
      </c>
    </row>
    <row r="239" spans="1:38" x14ac:dyDescent="0.25">
      <c r="A239">
        <v>318</v>
      </c>
      <c r="B239">
        <v>475</v>
      </c>
      <c r="C239">
        <v>476</v>
      </c>
      <c r="D239">
        <v>0</v>
      </c>
      <c r="E239">
        <v>1</v>
      </c>
      <c r="F239">
        <v>0</v>
      </c>
      <c r="G239">
        <v>1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>
        <v>14.8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3</v>
      </c>
      <c r="AE239">
        <v>166</v>
      </c>
      <c r="AF239">
        <v>1.66</v>
      </c>
      <c r="AG239">
        <v>2.7555999999999998</v>
      </c>
      <c r="AH239">
        <v>50.799999</v>
      </c>
      <c r="AI239">
        <v>18.435186170000001</v>
      </c>
      <c r="AJ239">
        <v>0.1</v>
      </c>
      <c r="AK239">
        <f>_xlfn.XLOOKUP(C239,[1]SPACE_GSS_3!$G:$G,[1]SPACE_GSS_3!$AP:$AP)</f>
        <v>3</v>
      </c>
      <c r="AL239" t="s">
        <v>36</v>
      </c>
    </row>
    <row r="240" spans="1:38" x14ac:dyDescent="0.25">
      <c r="A240">
        <v>314</v>
      </c>
      <c r="B240">
        <v>477</v>
      </c>
      <c r="C240">
        <v>478</v>
      </c>
      <c r="D240">
        <v>0</v>
      </c>
      <c r="E240">
        <v>1</v>
      </c>
      <c r="F240">
        <v>1</v>
      </c>
      <c r="G240">
        <v>1</v>
      </c>
      <c r="H240">
        <v>12.9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5</v>
      </c>
      <c r="P240">
        <v>166.5</v>
      </c>
      <c r="Q240">
        <v>1.665</v>
      </c>
      <c r="R240">
        <v>2.7722250000000002</v>
      </c>
      <c r="S240">
        <v>52.5</v>
      </c>
      <c r="T240">
        <v>18.937856780000001</v>
      </c>
      <c r="U240">
        <v>0.1</v>
      </c>
      <c r="V240" t="s">
        <v>36</v>
      </c>
      <c r="W240">
        <v>13.9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5</v>
      </c>
      <c r="AE240">
        <v>171</v>
      </c>
      <c r="AF240">
        <v>1.71</v>
      </c>
      <c r="AG240">
        <v>2.9241000000000001</v>
      </c>
      <c r="AH240">
        <v>60.799999</v>
      </c>
      <c r="AI240">
        <v>20.792722210000001</v>
      </c>
      <c r="AJ240">
        <v>0</v>
      </c>
      <c r="AK240">
        <f>_xlfn.XLOOKUP(C240,[1]SPACE_GSS_3!$G:$G,[1]SPACE_GSS_3!$AP:$AP)</f>
        <v>0</v>
      </c>
      <c r="AL240">
        <f>_xlfn.XLOOKUP(C240,[1]SPACE_GSS_3!$G:$G,[1]SPACE_GSS_3!$BM:$BM)</f>
        <v>14.1</v>
      </c>
    </row>
    <row r="241" spans="1:38" x14ac:dyDescent="0.25">
      <c r="A241">
        <v>341</v>
      </c>
      <c r="B241">
        <v>479</v>
      </c>
      <c r="C241">
        <v>480</v>
      </c>
      <c r="D241">
        <v>0</v>
      </c>
      <c r="E241">
        <v>1</v>
      </c>
      <c r="F241">
        <v>1</v>
      </c>
      <c r="G241">
        <v>0</v>
      </c>
      <c r="H241">
        <v>14.3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5</v>
      </c>
      <c r="P241">
        <v>162</v>
      </c>
      <c r="Q241">
        <v>1.62</v>
      </c>
      <c r="R241">
        <v>2.6244000000000001</v>
      </c>
      <c r="S241">
        <v>44.200001</v>
      </c>
      <c r="T241">
        <v>16.841945209999999</v>
      </c>
      <c r="U241">
        <v>0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 t="s">
        <v>36</v>
      </c>
      <c r="AF241" t="s">
        <v>36</v>
      </c>
      <c r="AG241" t="s">
        <v>36</v>
      </c>
      <c r="AH241" t="s">
        <v>36</v>
      </c>
      <c r="AI241" t="s">
        <v>36</v>
      </c>
      <c r="AJ241" t="s">
        <v>36</v>
      </c>
      <c r="AK241">
        <f>_xlfn.XLOOKUP(C241,[1]SPACE_GSS_3!$G:$G,[1]SPACE_GSS_3!$AP:$AP)</f>
        <v>3</v>
      </c>
      <c r="AL241">
        <f>_xlfn.XLOOKUP(C241,[1]SPACE_GSS_3!$G:$G,[1]SPACE_GSS_3!$BM:$BM)</f>
        <v>13.45</v>
      </c>
    </row>
    <row r="242" spans="1:38" x14ac:dyDescent="0.25">
      <c r="A242">
        <v>346</v>
      </c>
      <c r="B242">
        <v>481</v>
      </c>
      <c r="C242">
        <v>482</v>
      </c>
      <c r="D242">
        <v>0</v>
      </c>
      <c r="E242">
        <v>1</v>
      </c>
      <c r="F242">
        <v>1</v>
      </c>
      <c r="G242">
        <v>1</v>
      </c>
      <c r="H242">
        <v>13.8</v>
      </c>
      <c r="I242">
        <v>2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4</v>
      </c>
      <c r="P242">
        <v>163</v>
      </c>
      <c r="Q242">
        <v>1.63</v>
      </c>
      <c r="R242">
        <v>2.6568999999999998</v>
      </c>
      <c r="S242">
        <v>49.599997999999999</v>
      </c>
      <c r="T242">
        <v>18.668372160000001</v>
      </c>
      <c r="U242">
        <v>0</v>
      </c>
      <c r="V242" t="s">
        <v>36</v>
      </c>
      <c r="W242">
        <v>15</v>
      </c>
      <c r="X242">
        <v>2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5</v>
      </c>
      <c r="AE242">
        <v>165.3</v>
      </c>
      <c r="AF242">
        <v>1.653</v>
      </c>
      <c r="AG242">
        <v>2.7324090000000001</v>
      </c>
      <c r="AH242">
        <v>52.700001</v>
      </c>
      <c r="AI242">
        <v>19.287010469999998</v>
      </c>
      <c r="AJ242">
        <v>0</v>
      </c>
      <c r="AK242">
        <f>_xlfn.XLOOKUP(C242,[1]SPACE_GSS_3!$G:$G,[1]SPACE_GSS_3!$AP:$AP)</f>
        <v>2</v>
      </c>
      <c r="AL242">
        <f>_xlfn.XLOOKUP(C242,[1]SPACE_GSS_3!$G:$G,[1]SPACE_GSS_3!$BM:$BM)</f>
        <v>59.8</v>
      </c>
    </row>
    <row r="243" spans="1:38" x14ac:dyDescent="0.25">
      <c r="A243">
        <v>266</v>
      </c>
      <c r="B243">
        <v>483</v>
      </c>
      <c r="C243">
        <v>484</v>
      </c>
      <c r="D243">
        <v>0</v>
      </c>
      <c r="E243">
        <v>1</v>
      </c>
      <c r="F243">
        <v>1</v>
      </c>
      <c r="G243">
        <v>1</v>
      </c>
      <c r="H243">
        <v>11.6</v>
      </c>
      <c r="I243">
        <v>2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4</v>
      </c>
      <c r="P243">
        <v>158.5</v>
      </c>
      <c r="Q243">
        <v>1.585</v>
      </c>
      <c r="R243">
        <v>2.5122249999999999</v>
      </c>
      <c r="S243">
        <v>54.599997999999999</v>
      </c>
      <c r="T243">
        <v>21.733721299999999</v>
      </c>
      <c r="U243">
        <v>0</v>
      </c>
      <c r="V243" t="s">
        <v>36</v>
      </c>
      <c r="W243">
        <v>12.6</v>
      </c>
      <c r="X243">
        <v>2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4</v>
      </c>
      <c r="AE243">
        <v>161.30000000000001</v>
      </c>
      <c r="AF243">
        <v>1.613</v>
      </c>
      <c r="AG243">
        <v>2.601769</v>
      </c>
      <c r="AH243">
        <v>62.900002000000001</v>
      </c>
      <c r="AI243">
        <v>24.175859580000001</v>
      </c>
      <c r="AJ243">
        <v>0.1</v>
      </c>
      <c r="AK243">
        <f>_xlfn.XLOOKUP(C243,[1]SPACE_GSS_3!$G:$G,[1]SPACE_GSS_3!$AP:$AP)</f>
        <v>4</v>
      </c>
      <c r="AL243">
        <f>_xlfn.XLOOKUP(C243,[1]SPACE_GSS_3!$G:$G,[1]SPACE_GSS_3!$BM:$BM)</f>
        <v>15.95</v>
      </c>
    </row>
    <row r="244" spans="1:38" x14ac:dyDescent="0.25">
      <c r="A244">
        <v>345</v>
      </c>
      <c r="B244">
        <v>485</v>
      </c>
      <c r="C244">
        <v>486</v>
      </c>
      <c r="D244">
        <v>0</v>
      </c>
      <c r="E244">
        <v>1</v>
      </c>
      <c r="F244">
        <v>1</v>
      </c>
      <c r="G244">
        <v>1</v>
      </c>
      <c r="H244">
        <v>12.2</v>
      </c>
      <c r="I244">
        <v>2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5</v>
      </c>
      <c r="P244">
        <v>171.60001</v>
      </c>
      <c r="Q244">
        <v>1.7160001</v>
      </c>
      <c r="R244">
        <v>2.9446563430000001</v>
      </c>
      <c r="S244">
        <v>90.400002000000001</v>
      </c>
      <c r="T244">
        <v>30.69967815</v>
      </c>
      <c r="U244">
        <v>0.1</v>
      </c>
      <c r="V244" t="s">
        <v>36</v>
      </c>
      <c r="W244">
        <v>13.2</v>
      </c>
      <c r="X244" t="s">
        <v>36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36</v>
      </c>
      <c r="AE244">
        <v>173.39999</v>
      </c>
      <c r="AF244">
        <v>1.7339998999999999</v>
      </c>
      <c r="AG244">
        <v>3.0067556529999999</v>
      </c>
      <c r="AH244">
        <v>89</v>
      </c>
      <c r="AI244">
        <v>29.600010860000001</v>
      </c>
      <c r="AJ244">
        <v>0.1</v>
      </c>
      <c r="AK244">
        <f>_xlfn.XLOOKUP(C244,[1]SPACE_GSS_3!$G:$G,[1]SPACE_GSS_3!$AP:$AP)</f>
        <v>0</v>
      </c>
      <c r="AL244">
        <f>_xlfn.XLOOKUP(C244,[1]SPACE_GSS_3!$G:$G,[1]SPACE_GSS_3!$BM:$BM)</f>
        <v>21.95</v>
      </c>
    </row>
    <row r="245" spans="1:38" x14ac:dyDescent="0.25">
      <c r="A245">
        <v>338</v>
      </c>
      <c r="B245">
        <v>487</v>
      </c>
      <c r="C245">
        <v>488</v>
      </c>
      <c r="D245">
        <v>0</v>
      </c>
      <c r="E245">
        <v>1</v>
      </c>
      <c r="F245">
        <v>1</v>
      </c>
      <c r="G245">
        <v>0</v>
      </c>
      <c r="H245">
        <v>15.6</v>
      </c>
      <c r="I245" t="s">
        <v>36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36</v>
      </c>
      <c r="P245">
        <v>164.60001</v>
      </c>
      <c r="Q245">
        <v>1.6460001</v>
      </c>
      <c r="R245">
        <v>2.709316329</v>
      </c>
      <c r="S245">
        <v>46.599997999999999</v>
      </c>
      <c r="T245">
        <v>17.199910360000001</v>
      </c>
      <c r="U245">
        <v>0</v>
      </c>
      <c r="V245" t="s">
        <v>36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36</v>
      </c>
      <c r="AG245" t="s">
        <v>36</v>
      </c>
      <c r="AH245" t="s">
        <v>36</v>
      </c>
      <c r="AI245" t="s">
        <v>36</v>
      </c>
      <c r="AJ245" t="s">
        <v>36</v>
      </c>
      <c r="AK245">
        <f>_xlfn.XLOOKUP(C245,[1]SPACE_GSS_3!$G:$G,[1]SPACE_GSS_3!$AP:$AP)</f>
        <v>4</v>
      </c>
      <c r="AL245">
        <f>_xlfn.XLOOKUP(C245,[1]SPACE_GSS_3!$G:$G,[1]SPACE_GSS_3!$BM:$BM)</f>
        <v>18.100000000000001</v>
      </c>
    </row>
    <row r="246" spans="1:38" x14ac:dyDescent="0.25">
      <c r="A246">
        <v>349</v>
      </c>
      <c r="B246">
        <v>489</v>
      </c>
      <c r="C246">
        <v>490</v>
      </c>
      <c r="D246">
        <v>0</v>
      </c>
      <c r="E246">
        <v>1</v>
      </c>
      <c r="F246">
        <v>0</v>
      </c>
      <c r="G246">
        <v>0</v>
      </c>
      <c r="H246" t="s">
        <v>36</v>
      </c>
      <c r="I246" t="s">
        <v>36</v>
      </c>
      <c r="J246" t="s">
        <v>36</v>
      </c>
      <c r="K246" t="s">
        <v>36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  <c r="AI246" t="s">
        <v>36</v>
      </c>
      <c r="AJ246" t="s">
        <v>36</v>
      </c>
      <c r="AK246">
        <f>_xlfn.XLOOKUP(C246,[1]SPACE_GSS_3!$G:$G,[1]SPACE_GSS_3!$AP:$AP)</f>
        <v>1</v>
      </c>
      <c r="AL246">
        <f>_xlfn.XLOOKUP(C246,[1]SPACE_GSS_3!$G:$G,[1]SPACE_GSS_3!$BM:$BM)</f>
        <v>15.6</v>
      </c>
    </row>
    <row r="247" spans="1:38" x14ac:dyDescent="0.25">
      <c r="A247">
        <v>336</v>
      </c>
      <c r="B247">
        <v>491</v>
      </c>
      <c r="C247">
        <v>492</v>
      </c>
      <c r="D247">
        <v>0</v>
      </c>
      <c r="E247">
        <v>1</v>
      </c>
      <c r="F247">
        <v>1</v>
      </c>
      <c r="G247">
        <v>0</v>
      </c>
      <c r="H247">
        <v>12.9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5</v>
      </c>
      <c r="P247">
        <v>158.80000000000001</v>
      </c>
      <c r="Q247">
        <v>1.5880000000000001</v>
      </c>
      <c r="R247">
        <v>2.521744</v>
      </c>
      <c r="S247">
        <v>59.200001</v>
      </c>
      <c r="T247">
        <v>23.475817129999999</v>
      </c>
      <c r="U247">
        <v>0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  <c r="AI247" t="s">
        <v>36</v>
      </c>
      <c r="AJ247" t="s">
        <v>36</v>
      </c>
      <c r="AK247">
        <f>_xlfn.XLOOKUP(C247,[1]SPACE_GSS_3!$G:$G,[1]SPACE_GSS_3!$AP:$AP)</f>
        <v>3</v>
      </c>
      <c r="AL247">
        <f>_xlfn.XLOOKUP(C247,[1]SPACE_GSS_3!$G:$G,[1]SPACE_GSS_3!$BM:$BM)</f>
        <v>20</v>
      </c>
    </row>
    <row r="248" spans="1:38" x14ac:dyDescent="0.25">
      <c r="A248">
        <v>351</v>
      </c>
      <c r="B248">
        <v>493</v>
      </c>
      <c r="C248">
        <v>494</v>
      </c>
      <c r="D248">
        <v>0</v>
      </c>
      <c r="E248">
        <v>1</v>
      </c>
      <c r="F248">
        <v>1</v>
      </c>
      <c r="G248">
        <v>0</v>
      </c>
      <c r="H248">
        <v>12.6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5</v>
      </c>
      <c r="P248">
        <v>166.5</v>
      </c>
      <c r="Q248">
        <v>1.665</v>
      </c>
      <c r="R248">
        <v>2.7722250000000002</v>
      </c>
      <c r="S248">
        <v>74</v>
      </c>
      <c r="T248">
        <v>26.693360030000001</v>
      </c>
      <c r="U248">
        <v>0</v>
      </c>
      <c r="V248" t="s">
        <v>36</v>
      </c>
      <c r="W248" t="s">
        <v>36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  <c r="AE248" t="s">
        <v>36</v>
      </c>
      <c r="AF248" t="s">
        <v>36</v>
      </c>
      <c r="AG248" t="s">
        <v>36</v>
      </c>
      <c r="AH248" t="s">
        <v>36</v>
      </c>
      <c r="AI248" t="s">
        <v>36</v>
      </c>
      <c r="AJ248" t="s">
        <v>36</v>
      </c>
      <c r="AK248">
        <f>_xlfn.XLOOKUP(C248,[1]SPACE_GSS_3!$G:$G,[1]SPACE_GSS_3!$AP:$AP)</f>
        <v>7</v>
      </c>
      <c r="AL248">
        <f>_xlfn.XLOOKUP(C248,[1]SPACE_GSS_3!$G:$G,[1]SPACE_GSS_3!$BM:$BM)</f>
        <v>14</v>
      </c>
    </row>
    <row r="249" spans="1:38" x14ac:dyDescent="0.25">
      <c r="A249">
        <v>350</v>
      </c>
      <c r="B249">
        <v>495</v>
      </c>
      <c r="C249">
        <v>496</v>
      </c>
      <c r="D249">
        <v>0</v>
      </c>
      <c r="E249">
        <v>1</v>
      </c>
      <c r="F249">
        <v>0</v>
      </c>
      <c r="G249">
        <v>0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36</v>
      </c>
      <c r="AG249" t="s">
        <v>36</v>
      </c>
      <c r="AH249" t="s">
        <v>36</v>
      </c>
      <c r="AI249" t="s">
        <v>36</v>
      </c>
      <c r="AJ249" t="s">
        <v>36</v>
      </c>
      <c r="AK249">
        <f>_xlfn.XLOOKUP(C249,[1]SPACE_GSS_3!$G:$G,[1]SPACE_GSS_3!$AP:$AP)</f>
        <v>4</v>
      </c>
      <c r="AL249">
        <f>_xlfn.XLOOKUP(C249,[1]SPACE_GSS_3!$G:$G,[1]SPACE_GSS_3!$BM:$BM)</f>
        <v>4.9000000000000004</v>
      </c>
    </row>
    <row r="250" spans="1:38" x14ac:dyDescent="0.25">
      <c r="A250">
        <v>347</v>
      </c>
      <c r="B250">
        <v>497</v>
      </c>
      <c r="C250">
        <v>498</v>
      </c>
      <c r="D250">
        <v>0</v>
      </c>
      <c r="E250">
        <v>1</v>
      </c>
      <c r="F250">
        <v>0</v>
      </c>
      <c r="G250">
        <v>0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 t="s">
        <v>36</v>
      </c>
      <c r="AF250" t="s">
        <v>36</v>
      </c>
      <c r="AG250" t="s">
        <v>36</v>
      </c>
      <c r="AH250" t="s">
        <v>36</v>
      </c>
      <c r="AI250" t="s">
        <v>36</v>
      </c>
      <c r="AJ250" t="s">
        <v>36</v>
      </c>
      <c r="AK250">
        <f>_xlfn.XLOOKUP(C250,[1]SPACE_GSS_3!$G:$G,[1]SPACE_GSS_3!$AP:$AP)</f>
        <v>0</v>
      </c>
      <c r="AL250">
        <f>_xlfn.XLOOKUP(C250,[1]SPACE_GSS_3!$G:$G,[1]SPACE_GSS_3!$BM:$BM)</f>
        <v>4.0999999999999996</v>
      </c>
    </row>
    <row r="251" spans="1:38" x14ac:dyDescent="0.25">
      <c r="A251">
        <v>352</v>
      </c>
      <c r="B251">
        <v>499</v>
      </c>
      <c r="C251">
        <v>500</v>
      </c>
      <c r="D251">
        <v>0</v>
      </c>
      <c r="E251">
        <v>1</v>
      </c>
      <c r="F251">
        <v>1</v>
      </c>
      <c r="G251">
        <v>0</v>
      </c>
      <c r="H251">
        <v>12.7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5</v>
      </c>
      <c r="P251">
        <v>159.5</v>
      </c>
      <c r="Q251">
        <v>1.595</v>
      </c>
      <c r="R251">
        <v>2.544025</v>
      </c>
      <c r="S251">
        <v>52</v>
      </c>
      <c r="T251">
        <v>20.440050710000001</v>
      </c>
      <c r="U251">
        <v>0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  <c r="AI251" t="s">
        <v>36</v>
      </c>
      <c r="AJ251" t="s">
        <v>36</v>
      </c>
      <c r="AK251">
        <f>_xlfn.XLOOKUP(C251,[1]SPACE_GSS_3!$G:$G,[1]SPACE_GSS_3!$AP:$AP)</f>
        <v>1</v>
      </c>
      <c r="AL251">
        <f>_xlfn.XLOOKUP(C251,[1]SPACE_GSS_3!$G:$G,[1]SPACE_GSS_3!$BM:$BM)</f>
        <v>16.649999999999999</v>
      </c>
    </row>
    <row r="252" spans="1:38" x14ac:dyDescent="0.25">
      <c r="A252">
        <v>353</v>
      </c>
      <c r="B252">
        <v>501</v>
      </c>
      <c r="C252">
        <v>502</v>
      </c>
      <c r="D252">
        <v>0</v>
      </c>
      <c r="E252">
        <v>1</v>
      </c>
      <c r="F252">
        <v>1</v>
      </c>
      <c r="G252">
        <v>1</v>
      </c>
      <c r="H252">
        <v>12.2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5</v>
      </c>
      <c r="P252">
        <v>169.10001</v>
      </c>
      <c r="Q252">
        <v>1.6910000999999999</v>
      </c>
      <c r="R252">
        <v>2.8594813380000002</v>
      </c>
      <c r="S252">
        <v>52.799999</v>
      </c>
      <c r="T252">
        <v>18.464886719999999</v>
      </c>
      <c r="U252">
        <v>0</v>
      </c>
      <c r="V252" t="s">
        <v>36</v>
      </c>
      <c r="W252">
        <v>13.2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5</v>
      </c>
      <c r="AE252">
        <v>171.5</v>
      </c>
      <c r="AF252">
        <v>1.7150000000000001</v>
      </c>
      <c r="AG252">
        <v>2.9412250000000002</v>
      </c>
      <c r="AH252">
        <v>57.200001</v>
      </c>
      <c r="AI252">
        <v>19.447679449999999</v>
      </c>
      <c r="AJ252">
        <v>0</v>
      </c>
      <c r="AK252">
        <f>_xlfn.XLOOKUP(C252,[1]SPACE_GSS_3!$G:$G,[1]SPACE_GSS_3!$AP:$AP)</f>
        <v>3</v>
      </c>
      <c r="AL252">
        <f>_xlfn.XLOOKUP(C252,[1]SPACE_GSS_3!$G:$G,[1]SPACE_GSS_3!$BM:$BM)</f>
        <v>10.55</v>
      </c>
    </row>
    <row r="253" spans="1:38" x14ac:dyDescent="0.25">
      <c r="A253">
        <v>361</v>
      </c>
      <c r="B253">
        <v>503</v>
      </c>
      <c r="C253">
        <v>504</v>
      </c>
      <c r="D253">
        <v>0</v>
      </c>
      <c r="E253">
        <v>1</v>
      </c>
      <c r="F253">
        <v>1</v>
      </c>
      <c r="G253">
        <v>0</v>
      </c>
      <c r="H253">
        <v>12.9</v>
      </c>
      <c r="I253">
        <v>2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4</v>
      </c>
      <c r="P253">
        <v>161.5</v>
      </c>
      <c r="Q253">
        <v>1.615</v>
      </c>
      <c r="R253">
        <v>2.608225</v>
      </c>
      <c r="S253">
        <v>71.099997999999999</v>
      </c>
      <c r="T253">
        <v>27.259917380000001</v>
      </c>
      <c r="U253">
        <v>0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  <c r="AI253" t="s">
        <v>36</v>
      </c>
      <c r="AJ253" t="s">
        <v>36</v>
      </c>
      <c r="AK253">
        <f>_xlfn.XLOOKUP(C253,[1]SPACE_GSS_3!$G:$G,[1]SPACE_GSS_3!$AP:$AP)</f>
        <v>6</v>
      </c>
      <c r="AL253">
        <f>_xlfn.XLOOKUP(C253,[1]SPACE_GSS_3!$G:$G,[1]SPACE_GSS_3!$BM:$BM)</f>
        <v>22.6</v>
      </c>
    </row>
    <row r="254" spans="1:38" x14ac:dyDescent="0.25">
      <c r="A254">
        <v>365</v>
      </c>
      <c r="B254">
        <v>505</v>
      </c>
      <c r="C254">
        <v>506</v>
      </c>
      <c r="D254">
        <v>0</v>
      </c>
      <c r="E254">
        <v>1</v>
      </c>
      <c r="F254">
        <v>1</v>
      </c>
      <c r="G254">
        <v>1</v>
      </c>
      <c r="H254">
        <v>12.8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4</v>
      </c>
      <c r="P254">
        <v>155.69999999999999</v>
      </c>
      <c r="Q254">
        <v>1.5569999999999999</v>
      </c>
      <c r="R254">
        <v>2.4242490000000001</v>
      </c>
      <c r="S254">
        <v>58</v>
      </c>
      <c r="T254">
        <v>23.924935099999999</v>
      </c>
      <c r="U254">
        <v>0</v>
      </c>
      <c r="V254" t="s">
        <v>36</v>
      </c>
      <c r="W254">
        <v>13.7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4</v>
      </c>
      <c r="AE254">
        <v>157.39999</v>
      </c>
      <c r="AF254">
        <v>1.5739999</v>
      </c>
      <c r="AG254">
        <v>2.4774756849999999</v>
      </c>
      <c r="AH254">
        <v>62.900002000000001</v>
      </c>
      <c r="AI254">
        <v>25.388746449999999</v>
      </c>
      <c r="AJ254">
        <v>0</v>
      </c>
      <c r="AK254">
        <f>_xlfn.XLOOKUP(C254,[1]SPACE_GSS_3!$G:$G,[1]SPACE_GSS_3!$AP:$AP)</f>
        <v>6</v>
      </c>
      <c r="AL254">
        <f>_xlfn.XLOOKUP(C254,[1]SPACE_GSS_3!$G:$G,[1]SPACE_GSS_3!$BM:$BM)</f>
        <v>10.55</v>
      </c>
    </row>
    <row r="255" spans="1:38" x14ac:dyDescent="0.25">
      <c r="A255">
        <v>364</v>
      </c>
      <c r="B255">
        <v>507</v>
      </c>
      <c r="C255">
        <v>508</v>
      </c>
      <c r="D255">
        <v>0</v>
      </c>
      <c r="E255">
        <v>1</v>
      </c>
      <c r="F255">
        <v>1</v>
      </c>
      <c r="G255">
        <v>0</v>
      </c>
      <c r="H255">
        <v>12.4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5</v>
      </c>
      <c r="P255">
        <v>161.89999</v>
      </c>
      <c r="Q255">
        <v>1.6189998999999999</v>
      </c>
      <c r="R255">
        <v>2.6211606760000001</v>
      </c>
      <c r="S255">
        <v>46.900002000000001</v>
      </c>
      <c r="T255">
        <v>17.892837480000001</v>
      </c>
      <c r="U255">
        <v>-0.1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  <c r="AI255" t="s">
        <v>36</v>
      </c>
      <c r="AJ255" t="s">
        <v>36</v>
      </c>
      <c r="AK255">
        <f>_xlfn.XLOOKUP(C255,[1]SPACE_GSS_3!$G:$G,[1]SPACE_GSS_3!$AP:$AP)</f>
        <v>0</v>
      </c>
      <c r="AL255">
        <f>_xlfn.XLOOKUP(C255,[1]SPACE_GSS_3!$G:$G,[1]SPACE_GSS_3!$BM:$BM)</f>
        <v>1.65</v>
      </c>
    </row>
    <row r="256" spans="1:38" x14ac:dyDescent="0.25">
      <c r="A256">
        <v>359</v>
      </c>
      <c r="B256">
        <v>509</v>
      </c>
      <c r="C256">
        <v>510</v>
      </c>
      <c r="D256">
        <v>0</v>
      </c>
      <c r="E256">
        <v>1</v>
      </c>
      <c r="F256">
        <v>0</v>
      </c>
      <c r="G256">
        <v>0</v>
      </c>
      <c r="H256" t="s">
        <v>36</v>
      </c>
      <c r="I256" t="s">
        <v>36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36</v>
      </c>
      <c r="Z256" t="s">
        <v>36</v>
      </c>
      <c r="AA256" t="s">
        <v>36</v>
      </c>
      <c r="AB256" t="s">
        <v>36</v>
      </c>
      <c r="AC256" t="s">
        <v>36</v>
      </c>
      <c r="AD256" t="s">
        <v>36</v>
      </c>
      <c r="AE256" t="s">
        <v>36</v>
      </c>
      <c r="AF256" t="s">
        <v>36</v>
      </c>
      <c r="AG256" t="s">
        <v>36</v>
      </c>
      <c r="AH256" t="s">
        <v>36</v>
      </c>
      <c r="AI256" t="s">
        <v>36</v>
      </c>
      <c r="AJ256" t="s">
        <v>36</v>
      </c>
      <c r="AK256">
        <f>_xlfn.XLOOKUP(C256,[1]SPACE_GSS_3!$G:$G,[1]SPACE_GSS_3!$AP:$AP)</f>
        <v>1</v>
      </c>
      <c r="AL256">
        <f>_xlfn.XLOOKUP(C256,[1]SPACE_GSS_3!$G:$G,[1]SPACE_GSS_3!$BM:$BM)</f>
        <v>11.4</v>
      </c>
    </row>
    <row r="257" spans="1:38" x14ac:dyDescent="0.25">
      <c r="A257">
        <v>342</v>
      </c>
      <c r="B257">
        <v>511</v>
      </c>
      <c r="C257">
        <v>512</v>
      </c>
      <c r="D257">
        <v>0</v>
      </c>
      <c r="E257">
        <v>1</v>
      </c>
      <c r="F257">
        <v>0</v>
      </c>
      <c r="G257">
        <v>0</v>
      </c>
      <c r="H257" t="s">
        <v>36</v>
      </c>
      <c r="I257" t="s">
        <v>36</v>
      </c>
      <c r="J257" t="s">
        <v>36</v>
      </c>
      <c r="K257" t="s">
        <v>36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  <c r="AE257" t="s">
        <v>36</v>
      </c>
      <c r="AF257" t="s">
        <v>36</v>
      </c>
      <c r="AG257" t="s">
        <v>36</v>
      </c>
      <c r="AH257" t="s">
        <v>36</v>
      </c>
      <c r="AI257" t="s">
        <v>36</v>
      </c>
      <c r="AJ257" t="s">
        <v>36</v>
      </c>
      <c r="AK257">
        <f>_xlfn.XLOOKUP(C257,[1]SPACE_GSS_3!$G:$G,[1]SPACE_GSS_3!$AP:$AP)</f>
        <v>5</v>
      </c>
      <c r="AL257">
        <f>_xlfn.XLOOKUP(C257,[1]SPACE_GSS_3!$G:$G,[1]SPACE_GSS_3!$BM:$BM)</f>
        <v>20.8</v>
      </c>
    </row>
    <row r="258" spans="1:38" x14ac:dyDescent="0.25">
      <c r="A258">
        <v>375</v>
      </c>
      <c r="B258">
        <v>513</v>
      </c>
      <c r="C258">
        <v>514</v>
      </c>
      <c r="D258">
        <v>0</v>
      </c>
      <c r="E258">
        <v>1</v>
      </c>
      <c r="F258">
        <v>1</v>
      </c>
      <c r="G258">
        <v>0</v>
      </c>
      <c r="H258">
        <v>12.8</v>
      </c>
      <c r="I258">
        <v>2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5</v>
      </c>
      <c r="P258">
        <v>153</v>
      </c>
      <c r="Q258">
        <v>1.53</v>
      </c>
      <c r="R258">
        <v>2.3409</v>
      </c>
      <c r="S258">
        <v>36.700001</v>
      </c>
      <c r="T258">
        <v>15.677731209999999</v>
      </c>
      <c r="U258">
        <v>0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  <c r="AI258" t="s">
        <v>36</v>
      </c>
      <c r="AJ258" t="s">
        <v>36</v>
      </c>
      <c r="AK258">
        <f>_xlfn.XLOOKUP(C258,[1]SPACE_GSS_3!$G:$G,[1]SPACE_GSS_3!$AP:$AP)</f>
        <v>5</v>
      </c>
      <c r="AL258">
        <f>_xlfn.XLOOKUP(C258,[1]SPACE_GSS_3!$G:$G,[1]SPACE_GSS_3!$BM:$BM)</f>
        <v>5.55</v>
      </c>
    </row>
    <row r="259" spans="1:38" x14ac:dyDescent="0.25">
      <c r="A259">
        <v>374</v>
      </c>
      <c r="B259">
        <v>515</v>
      </c>
      <c r="C259">
        <v>516</v>
      </c>
      <c r="D259">
        <v>0</v>
      </c>
      <c r="E259">
        <v>1</v>
      </c>
      <c r="F259">
        <v>0</v>
      </c>
      <c r="G259">
        <v>0</v>
      </c>
      <c r="H259" t="s">
        <v>36</v>
      </c>
      <c r="I259" t="s">
        <v>36</v>
      </c>
      <c r="J259" t="s">
        <v>36</v>
      </c>
      <c r="K259" t="s">
        <v>36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  <c r="AE259" t="s">
        <v>36</v>
      </c>
      <c r="AF259" t="s">
        <v>36</v>
      </c>
      <c r="AG259" t="s">
        <v>36</v>
      </c>
      <c r="AH259" t="s">
        <v>36</v>
      </c>
      <c r="AI259" t="s">
        <v>36</v>
      </c>
      <c r="AJ259" t="s">
        <v>36</v>
      </c>
      <c r="AK259">
        <f>_xlfn.XLOOKUP(C259,[1]SPACE_GSS_3!$G:$G,[1]SPACE_GSS_3!$AP:$AP)</f>
        <v>1</v>
      </c>
      <c r="AL259">
        <f>_xlfn.XLOOKUP(C259,[1]SPACE_GSS_3!$G:$G,[1]SPACE_GSS_3!$BM:$BM)</f>
        <v>9.15</v>
      </c>
    </row>
    <row r="260" spans="1:38" x14ac:dyDescent="0.25">
      <c r="A260">
        <v>371</v>
      </c>
      <c r="B260">
        <v>517</v>
      </c>
      <c r="C260">
        <v>518</v>
      </c>
      <c r="D260">
        <v>0</v>
      </c>
      <c r="E260">
        <v>1</v>
      </c>
      <c r="F260">
        <v>1</v>
      </c>
      <c r="G260">
        <v>1</v>
      </c>
      <c r="H260">
        <v>14.1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4</v>
      </c>
      <c r="P260">
        <v>168.89999</v>
      </c>
      <c r="Q260">
        <v>1.6889999</v>
      </c>
      <c r="R260">
        <v>2.8527206619999999</v>
      </c>
      <c r="S260">
        <v>53.799999</v>
      </c>
      <c r="T260">
        <v>18.859189300000001</v>
      </c>
      <c r="U260">
        <v>0</v>
      </c>
      <c r="V260" t="s">
        <v>36</v>
      </c>
      <c r="W260">
        <v>15</v>
      </c>
      <c r="X260" t="s">
        <v>36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36</v>
      </c>
      <c r="AE260">
        <v>171.5</v>
      </c>
      <c r="AF260">
        <v>1.7150000000000001</v>
      </c>
      <c r="AG260">
        <v>2.9412250000000002</v>
      </c>
      <c r="AH260">
        <v>64.099997999999999</v>
      </c>
      <c r="AI260">
        <v>21.793639720000002</v>
      </c>
      <c r="AJ260">
        <v>-0.1</v>
      </c>
      <c r="AK260">
        <f>_xlfn.XLOOKUP(C260,[1]SPACE_GSS_3!$G:$G,[1]SPACE_GSS_3!$AP:$AP)</f>
        <v>2</v>
      </c>
      <c r="AL260">
        <f>_xlfn.XLOOKUP(C260,[1]SPACE_GSS_3!$G:$G,[1]SPACE_GSS_3!$BM:$BM)</f>
        <v>5.75</v>
      </c>
    </row>
    <row r="261" spans="1:38" x14ac:dyDescent="0.25">
      <c r="A261">
        <v>377</v>
      </c>
      <c r="B261">
        <v>519</v>
      </c>
      <c r="C261">
        <v>520</v>
      </c>
      <c r="D261">
        <v>0</v>
      </c>
      <c r="E261">
        <v>1</v>
      </c>
      <c r="F261">
        <v>0</v>
      </c>
      <c r="G261">
        <v>0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  <c r="AE261" t="s">
        <v>36</v>
      </c>
      <c r="AF261" t="s">
        <v>36</v>
      </c>
      <c r="AG261" t="s">
        <v>36</v>
      </c>
      <c r="AH261" t="s">
        <v>36</v>
      </c>
      <c r="AI261" t="s">
        <v>36</v>
      </c>
      <c r="AJ261" t="s">
        <v>36</v>
      </c>
      <c r="AK261">
        <f>_xlfn.XLOOKUP(C261,[1]SPACE_GSS_3!$G:$G,[1]SPACE_GSS_3!$AP:$AP)</f>
        <v>0</v>
      </c>
      <c r="AL261">
        <f>_xlfn.XLOOKUP(C261,[1]SPACE_GSS_3!$G:$G,[1]SPACE_GSS_3!$BM:$BM)</f>
        <v>11.7</v>
      </c>
    </row>
    <row r="262" spans="1:38" x14ac:dyDescent="0.25">
      <c r="A262">
        <v>373</v>
      </c>
      <c r="B262">
        <v>521</v>
      </c>
      <c r="C262">
        <v>522</v>
      </c>
      <c r="D262">
        <v>0</v>
      </c>
      <c r="E262">
        <v>1</v>
      </c>
      <c r="F262">
        <v>1</v>
      </c>
      <c r="G262">
        <v>0</v>
      </c>
      <c r="H262">
        <v>13.9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5</v>
      </c>
      <c r="P262">
        <v>159.60001</v>
      </c>
      <c r="Q262">
        <v>1.5960000999999999</v>
      </c>
      <c r="R262">
        <v>2.5472163189999999</v>
      </c>
      <c r="S262">
        <v>52.5</v>
      </c>
      <c r="T262">
        <v>20.610734789999999</v>
      </c>
      <c r="U262">
        <v>0</v>
      </c>
      <c r="V262" t="s">
        <v>36</v>
      </c>
      <c r="W262" t="s">
        <v>36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  <c r="AE262" t="s">
        <v>36</v>
      </c>
      <c r="AF262" t="s">
        <v>36</v>
      </c>
      <c r="AG262" t="s">
        <v>36</v>
      </c>
      <c r="AH262" t="s">
        <v>36</v>
      </c>
      <c r="AI262" t="s">
        <v>36</v>
      </c>
      <c r="AJ262" t="s">
        <v>36</v>
      </c>
      <c r="AK262">
        <f>_xlfn.XLOOKUP(C262,[1]SPACE_GSS_3!$G:$G,[1]SPACE_GSS_3!$AP:$AP)</f>
        <v>0</v>
      </c>
      <c r="AL262">
        <f>_xlfn.XLOOKUP(C262,[1]SPACE_GSS_3!$G:$G,[1]SPACE_GSS_3!$BM:$BM)</f>
        <v>27.2</v>
      </c>
    </row>
    <row r="263" spans="1:38" x14ac:dyDescent="0.25">
      <c r="A263">
        <v>370</v>
      </c>
      <c r="B263">
        <v>523</v>
      </c>
      <c r="C263">
        <v>524</v>
      </c>
      <c r="D263">
        <v>0</v>
      </c>
      <c r="E263">
        <v>1</v>
      </c>
      <c r="F263">
        <v>1</v>
      </c>
      <c r="G263">
        <v>1</v>
      </c>
      <c r="H263">
        <v>13.1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5</v>
      </c>
      <c r="P263">
        <v>160.30000000000001</v>
      </c>
      <c r="Q263">
        <v>1.603</v>
      </c>
      <c r="R263">
        <v>2.5696089999999998</v>
      </c>
      <c r="S263">
        <v>57.900002000000001</v>
      </c>
      <c r="T263">
        <v>22.532611769999999</v>
      </c>
      <c r="U263">
        <v>0</v>
      </c>
      <c r="V263" t="s">
        <v>36</v>
      </c>
      <c r="W263">
        <v>13.6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5</v>
      </c>
      <c r="AE263">
        <v>161.39999</v>
      </c>
      <c r="AF263">
        <v>1.6139999</v>
      </c>
      <c r="AG263">
        <v>2.6049956769999998</v>
      </c>
      <c r="AH263">
        <v>55.400002000000001</v>
      </c>
      <c r="AI263">
        <v>21.266830680000002</v>
      </c>
      <c r="AJ263">
        <v>0.1</v>
      </c>
      <c r="AK263">
        <f>_xlfn.XLOOKUP(C263,[1]SPACE_GSS_3!$G:$G,[1]SPACE_GSS_3!$AP:$AP)</f>
        <v>9</v>
      </c>
      <c r="AL263">
        <f>_xlfn.XLOOKUP(C263,[1]SPACE_GSS_3!$G:$G,[1]SPACE_GSS_3!$BM:$BM)</f>
        <v>14.6</v>
      </c>
    </row>
    <row r="264" spans="1:38" x14ac:dyDescent="0.25">
      <c r="A264">
        <v>379</v>
      </c>
      <c r="B264">
        <v>525</v>
      </c>
      <c r="C264">
        <v>526</v>
      </c>
      <c r="D264">
        <v>0</v>
      </c>
      <c r="E264">
        <v>1</v>
      </c>
      <c r="F264">
        <v>1</v>
      </c>
      <c r="G264">
        <v>1</v>
      </c>
      <c r="H264">
        <v>11.5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5</v>
      </c>
      <c r="P264">
        <v>155.5</v>
      </c>
      <c r="Q264">
        <v>1.5549999999999999</v>
      </c>
      <c r="R264">
        <v>2.4180250000000001</v>
      </c>
      <c r="S264">
        <v>53.5</v>
      </c>
      <c r="T264">
        <v>22.125494979999999</v>
      </c>
      <c r="U264">
        <v>0</v>
      </c>
      <c r="V264" t="s">
        <v>36</v>
      </c>
      <c r="W264">
        <v>12.5</v>
      </c>
      <c r="X264" t="s">
        <v>36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36</v>
      </c>
      <c r="AE264">
        <v>158.30000000000001</v>
      </c>
      <c r="AF264">
        <v>1.583</v>
      </c>
      <c r="AG264">
        <v>2.5058889999999998</v>
      </c>
      <c r="AH264">
        <v>57.900002000000001</v>
      </c>
      <c r="AI264">
        <v>23.10557331</v>
      </c>
      <c r="AJ264">
        <v>0</v>
      </c>
      <c r="AK264">
        <f>_xlfn.XLOOKUP(C264,[1]SPACE_GSS_3!$G:$G,[1]SPACE_GSS_3!$AP:$AP)</f>
        <v>0</v>
      </c>
      <c r="AL264">
        <f>_xlfn.XLOOKUP(C264,[1]SPACE_GSS_3!$G:$G,[1]SPACE_GSS_3!$BM:$BM)</f>
        <v>28.95</v>
      </c>
    </row>
    <row r="265" spans="1:38" x14ac:dyDescent="0.25">
      <c r="A265">
        <v>319</v>
      </c>
      <c r="B265">
        <v>527</v>
      </c>
      <c r="C265">
        <v>528</v>
      </c>
      <c r="D265">
        <v>0</v>
      </c>
      <c r="E265">
        <v>1</v>
      </c>
      <c r="F265">
        <v>0</v>
      </c>
      <c r="G265">
        <v>0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36</v>
      </c>
      <c r="AE265" t="s">
        <v>36</v>
      </c>
      <c r="AF265" t="s">
        <v>36</v>
      </c>
      <c r="AG265" t="s">
        <v>36</v>
      </c>
      <c r="AH265" t="s">
        <v>36</v>
      </c>
      <c r="AI265" t="s">
        <v>36</v>
      </c>
      <c r="AJ265" t="s">
        <v>36</v>
      </c>
      <c r="AK265">
        <f>_xlfn.XLOOKUP(C265,[1]SPACE_GSS_3!$G:$G,[1]SPACE_GSS_3!$AP:$AP)</f>
        <v>2</v>
      </c>
      <c r="AL265">
        <f>_xlfn.XLOOKUP(C265,[1]SPACE_GSS_3!$G:$G,[1]SPACE_GSS_3!$BM:$BM)</f>
        <v>17.850000000000001</v>
      </c>
    </row>
    <row r="266" spans="1:38" x14ac:dyDescent="0.25">
      <c r="A266">
        <v>378</v>
      </c>
      <c r="B266">
        <v>529</v>
      </c>
      <c r="C266">
        <v>530</v>
      </c>
      <c r="D266">
        <v>0</v>
      </c>
      <c r="E266">
        <v>1</v>
      </c>
      <c r="F266">
        <v>1</v>
      </c>
      <c r="G266">
        <v>1</v>
      </c>
      <c r="H266">
        <v>11.1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157.19999999999999</v>
      </c>
      <c r="Q266">
        <v>1.5720000000000001</v>
      </c>
      <c r="R266">
        <v>2.471184</v>
      </c>
      <c r="S266">
        <v>56.5</v>
      </c>
      <c r="T266">
        <v>22.86353424</v>
      </c>
      <c r="U266">
        <v>-0.1</v>
      </c>
      <c r="V266" t="s">
        <v>36</v>
      </c>
      <c r="W266">
        <v>12.7</v>
      </c>
      <c r="X266" t="s">
        <v>36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36</v>
      </c>
      <c r="AE266">
        <v>161.39999</v>
      </c>
      <c r="AF266">
        <v>1.6139999</v>
      </c>
      <c r="AG266">
        <v>2.6049956769999998</v>
      </c>
      <c r="AH266">
        <v>55.5</v>
      </c>
      <c r="AI266">
        <v>21.3052177</v>
      </c>
      <c r="AJ266">
        <v>-0.1</v>
      </c>
      <c r="AK266">
        <f>_xlfn.XLOOKUP(C266,[1]SPACE_GSS_3!$G:$G,[1]SPACE_GSS_3!$AP:$AP)</f>
        <v>1</v>
      </c>
      <c r="AL266">
        <f>_xlfn.XLOOKUP(C266,[1]SPACE_GSS_3!$G:$G,[1]SPACE_GSS_3!$BM:$BM)</f>
        <v>10.55</v>
      </c>
    </row>
    <row r="267" spans="1:38" x14ac:dyDescent="0.25">
      <c r="A267">
        <v>385</v>
      </c>
      <c r="B267">
        <v>531</v>
      </c>
      <c r="C267">
        <v>532</v>
      </c>
      <c r="D267">
        <v>0</v>
      </c>
      <c r="E267">
        <v>1</v>
      </c>
      <c r="F267">
        <v>0</v>
      </c>
      <c r="G267">
        <v>0</v>
      </c>
      <c r="H267" t="s">
        <v>36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  <c r="AE267" t="s">
        <v>36</v>
      </c>
      <c r="AF267" t="s">
        <v>36</v>
      </c>
      <c r="AG267" t="s">
        <v>36</v>
      </c>
      <c r="AH267" t="s">
        <v>36</v>
      </c>
      <c r="AI267" t="s">
        <v>36</v>
      </c>
      <c r="AJ267" t="s">
        <v>36</v>
      </c>
      <c r="AK267">
        <f>_xlfn.XLOOKUP(C267,[1]SPACE_GSS_3!$G:$G,[1]SPACE_GSS_3!$AP:$AP)</f>
        <v>0</v>
      </c>
      <c r="AL267">
        <f>_xlfn.XLOOKUP(C267,[1]SPACE_GSS_3!$G:$G,[1]SPACE_GSS_3!$BM:$BM)</f>
        <v>17.850000000000001</v>
      </c>
    </row>
    <row r="268" spans="1:38" x14ac:dyDescent="0.25">
      <c r="A268">
        <v>384</v>
      </c>
      <c r="B268">
        <v>533</v>
      </c>
      <c r="C268">
        <v>534</v>
      </c>
      <c r="D268">
        <v>0</v>
      </c>
      <c r="E268">
        <v>1</v>
      </c>
      <c r="F268">
        <v>0</v>
      </c>
      <c r="G268">
        <v>0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  <c r="AE268" t="s">
        <v>36</v>
      </c>
      <c r="AF268" t="s">
        <v>36</v>
      </c>
      <c r="AG268" t="s">
        <v>36</v>
      </c>
      <c r="AH268" t="s">
        <v>36</v>
      </c>
      <c r="AI268" t="s">
        <v>36</v>
      </c>
      <c r="AJ268" t="s">
        <v>36</v>
      </c>
      <c r="AK268">
        <f>_xlfn.XLOOKUP(C268,[1]SPACE_GSS_3!$G:$G,[1]SPACE_GSS_3!$AP:$AP)</f>
        <v>1</v>
      </c>
      <c r="AL268">
        <f>_xlfn.XLOOKUP(C268,[1]SPACE_GSS_3!$G:$G,[1]SPACE_GSS_3!$BM:$BM)</f>
        <v>6.1</v>
      </c>
    </row>
    <row r="269" spans="1:38" x14ac:dyDescent="0.25">
      <c r="A269">
        <v>389</v>
      </c>
      <c r="B269">
        <v>535</v>
      </c>
      <c r="C269">
        <v>536</v>
      </c>
      <c r="D269">
        <v>0</v>
      </c>
      <c r="E269">
        <v>1</v>
      </c>
      <c r="F269">
        <v>0</v>
      </c>
      <c r="G269">
        <v>0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  <c r="AE269" t="s">
        <v>36</v>
      </c>
      <c r="AF269" t="s">
        <v>36</v>
      </c>
      <c r="AG269" t="s">
        <v>36</v>
      </c>
      <c r="AH269" t="s">
        <v>36</v>
      </c>
      <c r="AI269" t="s">
        <v>36</v>
      </c>
      <c r="AJ269" t="s">
        <v>36</v>
      </c>
      <c r="AK269">
        <f>_xlfn.XLOOKUP(C269,[1]SPACE_GSS_3!$G:$G,[1]SPACE_GSS_3!$AP:$AP)</f>
        <v>1</v>
      </c>
      <c r="AL269" t="s">
        <v>36</v>
      </c>
    </row>
    <row r="270" spans="1:38" x14ac:dyDescent="0.25">
      <c r="A270">
        <v>380</v>
      </c>
      <c r="B270">
        <v>537</v>
      </c>
      <c r="C270">
        <v>538</v>
      </c>
      <c r="D270">
        <v>0</v>
      </c>
      <c r="E270">
        <v>1</v>
      </c>
      <c r="F270">
        <v>1</v>
      </c>
      <c r="G270">
        <v>0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5</v>
      </c>
      <c r="P270">
        <v>162.5</v>
      </c>
      <c r="Q270">
        <v>1.625</v>
      </c>
      <c r="R270">
        <v>2.640625</v>
      </c>
      <c r="S270">
        <v>52.700001</v>
      </c>
      <c r="T270">
        <v>19.95739683</v>
      </c>
      <c r="U270">
        <v>0.1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  <c r="AE270" t="s">
        <v>36</v>
      </c>
      <c r="AF270" t="s">
        <v>36</v>
      </c>
      <c r="AG270" t="s">
        <v>36</v>
      </c>
      <c r="AH270" t="s">
        <v>36</v>
      </c>
      <c r="AI270" t="s">
        <v>36</v>
      </c>
      <c r="AJ270" t="s">
        <v>36</v>
      </c>
      <c r="AK270">
        <f>_xlfn.XLOOKUP(C270,[1]SPACE_GSS_3!$G:$G,[1]SPACE_GSS_3!$AP:$AP)</f>
        <v>4</v>
      </c>
      <c r="AL270" t="s">
        <v>36</v>
      </c>
    </row>
    <row r="271" spans="1:38" x14ac:dyDescent="0.25">
      <c r="A271">
        <v>391</v>
      </c>
      <c r="B271">
        <v>539</v>
      </c>
      <c r="C271">
        <v>540</v>
      </c>
      <c r="D271">
        <v>0</v>
      </c>
      <c r="E271">
        <v>1</v>
      </c>
      <c r="F271">
        <v>1</v>
      </c>
      <c r="G271">
        <v>1</v>
      </c>
      <c r="H271">
        <v>13.6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5</v>
      </c>
      <c r="P271">
        <v>152.39999</v>
      </c>
      <c r="Q271">
        <v>1.5239999</v>
      </c>
      <c r="R271">
        <v>2.3225756949999998</v>
      </c>
      <c r="S271">
        <v>44.900002000000001</v>
      </c>
      <c r="T271">
        <v>19.33198651</v>
      </c>
      <c r="U271">
        <v>-0.1</v>
      </c>
      <c r="V271" t="s">
        <v>36</v>
      </c>
      <c r="W271">
        <v>13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5</v>
      </c>
      <c r="AE271">
        <v>153.60001</v>
      </c>
      <c r="AF271">
        <v>1.5360001000000001</v>
      </c>
      <c r="AG271">
        <v>2.3592963070000001</v>
      </c>
      <c r="AH271">
        <v>47.900002000000001</v>
      </c>
      <c r="AI271">
        <v>20.302664759999999</v>
      </c>
      <c r="AJ271">
        <v>0</v>
      </c>
      <c r="AK271">
        <f>_xlfn.XLOOKUP(C271,[1]SPACE_GSS_3!$G:$G,[1]SPACE_GSS_3!$AP:$AP)</f>
        <v>0</v>
      </c>
      <c r="AL271" t="s">
        <v>36</v>
      </c>
    </row>
    <row r="272" spans="1:38" x14ac:dyDescent="0.25">
      <c r="A272">
        <v>382</v>
      </c>
      <c r="B272">
        <v>541</v>
      </c>
      <c r="C272">
        <v>542</v>
      </c>
      <c r="D272">
        <v>0</v>
      </c>
      <c r="E272">
        <v>1</v>
      </c>
      <c r="F272">
        <v>1</v>
      </c>
      <c r="G272">
        <v>1</v>
      </c>
      <c r="H272">
        <v>11.8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5</v>
      </c>
      <c r="P272">
        <v>156.19999999999999</v>
      </c>
      <c r="Q272">
        <v>1.5620000000000001</v>
      </c>
      <c r="R272">
        <v>2.4398439999999999</v>
      </c>
      <c r="S272">
        <v>46.700001</v>
      </c>
      <c r="T272">
        <v>19.14056841</v>
      </c>
      <c r="U272">
        <v>0</v>
      </c>
      <c r="V272" t="s">
        <v>36</v>
      </c>
      <c r="W272">
        <v>12.6</v>
      </c>
      <c r="X272">
        <v>2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5</v>
      </c>
      <c r="AE272">
        <v>160.5</v>
      </c>
      <c r="AF272">
        <v>1.605</v>
      </c>
      <c r="AG272">
        <v>2.576025</v>
      </c>
      <c r="AH272">
        <v>52.799999</v>
      </c>
      <c r="AI272">
        <v>20.4966951</v>
      </c>
      <c r="AJ272">
        <v>0</v>
      </c>
      <c r="AK272">
        <f>_xlfn.XLOOKUP(C272,[1]SPACE_GSS_3!$G:$G,[1]SPACE_GSS_3!$AP:$AP)</f>
        <v>1</v>
      </c>
      <c r="AL272" t="s">
        <v>36</v>
      </c>
    </row>
    <row r="273" spans="1:38" x14ac:dyDescent="0.25">
      <c r="A273">
        <v>394</v>
      </c>
      <c r="B273">
        <v>543</v>
      </c>
      <c r="C273">
        <v>544</v>
      </c>
      <c r="D273">
        <v>0</v>
      </c>
      <c r="E273">
        <v>1</v>
      </c>
      <c r="F273">
        <v>0</v>
      </c>
      <c r="G273">
        <v>0</v>
      </c>
      <c r="H273">
        <v>12.4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>
        <v>13.3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  <c r="AE273" t="s">
        <v>36</v>
      </c>
      <c r="AF273" t="s">
        <v>36</v>
      </c>
      <c r="AG273" t="s">
        <v>36</v>
      </c>
      <c r="AH273" t="s">
        <v>36</v>
      </c>
      <c r="AI273" t="s">
        <v>36</v>
      </c>
      <c r="AJ273" t="s">
        <v>36</v>
      </c>
      <c r="AK273">
        <f>_xlfn.XLOOKUP(C273,[1]SPACE_GSS_3!$G:$G,[1]SPACE_GSS_3!$AP:$AP)</f>
        <v>5</v>
      </c>
      <c r="AL273" t="s">
        <v>36</v>
      </c>
    </row>
    <row r="274" spans="1:38" x14ac:dyDescent="0.25">
      <c r="A274">
        <v>376</v>
      </c>
      <c r="B274">
        <v>545</v>
      </c>
      <c r="C274">
        <v>546</v>
      </c>
      <c r="D274">
        <v>0</v>
      </c>
      <c r="E274">
        <v>1</v>
      </c>
      <c r="F274">
        <v>0</v>
      </c>
      <c r="G274">
        <v>0</v>
      </c>
      <c r="H274" t="s">
        <v>36</v>
      </c>
      <c r="I274" t="s">
        <v>36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  <c r="AE274" t="s">
        <v>36</v>
      </c>
      <c r="AF274" t="s">
        <v>36</v>
      </c>
      <c r="AG274" t="s">
        <v>36</v>
      </c>
      <c r="AH274" t="s">
        <v>36</v>
      </c>
      <c r="AI274" t="s">
        <v>36</v>
      </c>
      <c r="AJ274" t="s">
        <v>36</v>
      </c>
      <c r="AK274">
        <f>_xlfn.XLOOKUP(C274,[1]SPACE_GSS_3!$G:$G,[1]SPACE_GSS_3!$AP:$AP)</f>
        <v>1</v>
      </c>
      <c r="AL274" t="s">
        <v>36</v>
      </c>
    </row>
    <row r="275" spans="1:38" x14ac:dyDescent="0.25">
      <c r="A275">
        <v>369</v>
      </c>
      <c r="B275">
        <v>547</v>
      </c>
      <c r="C275">
        <v>548</v>
      </c>
      <c r="D275">
        <v>0</v>
      </c>
      <c r="E275">
        <v>1</v>
      </c>
      <c r="F275">
        <v>0</v>
      </c>
      <c r="G275">
        <v>0</v>
      </c>
      <c r="H275" t="s">
        <v>36</v>
      </c>
      <c r="I275" t="s">
        <v>36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  <c r="AC275" t="s">
        <v>36</v>
      </c>
      <c r="AD275" t="s">
        <v>36</v>
      </c>
      <c r="AE275" t="s">
        <v>36</v>
      </c>
      <c r="AF275" t="s">
        <v>36</v>
      </c>
      <c r="AG275" t="s">
        <v>36</v>
      </c>
      <c r="AH275" t="s">
        <v>36</v>
      </c>
      <c r="AI275" t="s">
        <v>36</v>
      </c>
      <c r="AJ275" t="s">
        <v>36</v>
      </c>
      <c r="AK275">
        <f>_xlfn.XLOOKUP(C275,[1]SPACE_GSS_3!$G:$G,[1]SPACE_GSS_3!$AP:$AP)</f>
        <v>3</v>
      </c>
      <c r="AL275" t="s">
        <v>36</v>
      </c>
    </row>
    <row r="276" spans="1:38" x14ac:dyDescent="0.25">
      <c r="A276">
        <v>386</v>
      </c>
      <c r="B276">
        <v>549</v>
      </c>
      <c r="C276">
        <v>550</v>
      </c>
      <c r="D276">
        <v>0</v>
      </c>
      <c r="E276">
        <v>1</v>
      </c>
      <c r="F276">
        <v>0</v>
      </c>
      <c r="G276">
        <v>0</v>
      </c>
      <c r="H276" t="s">
        <v>36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  <c r="Z276" t="s">
        <v>36</v>
      </c>
      <c r="AA276" t="s">
        <v>36</v>
      </c>
      <c r="AB276" t="s">
        <v>36</v>
      </c>
      <c r="AC276" t="s">
        <v>36</v>
      </c>
      <c r="AD276" t="s">
        <v>36</v>
      </c>
      <c r="AE276" t="s">
        <v>36</v>
      </c>
      <c r="AF276" t="s">
        <v>36</v>
      </c>
      <c r="AG276" t="s">
        <v>36</v>
      </c>
      <c r="AH276" t="s">
        <v>36</v>
      </c>
      <c r="AI276" t="s">
        <v>36</v>
      </c>
      <c r="AJ276" t="s">
        <v>36</v>
      </c>
      <c r="AK276">
        <f>_xlfn.XLOOKUP(C276,[1]SPACE_GSS_3!$G:$G,[1]SPACE_GSS_3!$AP:$AP)</f>
        <v>3</v>
      </c>
      <c r="AL276" t="s">
        <v>36</v>
      </c>
    </row>
    <row r="277" spans="1:38" x14ac:dyDescent="0.25">
      <c r="A277">
        <v>402</v>
      </c>
      <c r="B277">
        <v>551</v>
      </c>
      <c r="C277">
        <v>552</v>
      </c>
      <c r="D277">
        <v>0</v>
      </c>
      <c r="E277">
        <v>1</v>
      </c>
      <c r="F277">
        <v>1</v>
      </c>
      <c r="G277">
        <v>0</v>
      </c>
      <c r="H277">
        <v>13.2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</v>
      </c>
      <c r="P277">
        <v>162.39999</v>
      </c>
      <c r="Q277">
        <v>1.6239999000000001</v>
      </c>
      <c r="R277">
        <v>2.6373756749999999</v>
      </c>
      <c r="S277">
        <v>47.599997999999999</v>
      </c>
      <c r="T277">
        <v>18.04824335</v>
      </c>
      <c r="U277">
        <v>-0.1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  <c r="AE277" t="s">
        <v>36</v>
      </c>
      <c r="AF277" t="s">
        <v>36</v>
      </c>
      <c r="AG277" t="s">
        <v>36</v>
      </c>
      <c r="AH277" t="s">
        <v>36</v>
      </c>
      <c r="AI277" t="s">
        <v>36</v>
      </c>
      <c r="AJ277" t="s">
        <v>36</v>
      </c>
      <c r="AK277">
        <f>_xlfn.XLOOKUP(C277,[1]SPACE_GSS_3!$G:$G,[1]SPACE_GSS_3!$AP:$AP)</f>
        <v>1</v>
      </c>
      <c r="AL277" t="s">
        <v>36</v>
      </c>
    </row>
    <row r="278" spans="1:38" x14ac:dyDescent="0.25">
      <c r="A278">
        <v>367</v>
      </c>
      <c r="B278">
        <v>553</v>
      </c>
      <c r="C278">
        <v>554</v>
      </c>
      <c r="D278">
        <v>0</v>
      </c>
      <c r="E278">
        <v>1</v>
      </c>
      <c r="F278">
        <v>0</v>
      </c>
      <c r="G278">
        <v>0</v>
      </c>
      <c r="H278" t="s">
        <v>36</v>
      </c>
      <c r="I278" t="s">
        <v>36</v>
      </c>
      <c r="J278" t="s">
        <v>36</v>
      </c>
      <c r="K278" t="s">
        <v>36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  <c r="AE278" t="s">
        <v>36</v>
      </c>
      <c r="AF278" t="s">
        <v>36</v>
      </c>
      <c r="AG278" t="s">
        <v>36</v>
      </c>
      <c r="AH278" t="s">
        <v>36</v>
      </c>
      <c r="AI278" t="s">
        <v>36</v>
      </c>
      <c r="AJ278" t="s">
        <v>36</v>
      </c>
      <c r="AK278">
        <f>_xlfn.XLOOKUP(C278,[1]SPACE_GSS_3!$G:$G,[1]SPACE_GSS_3!$AP:$AP)</f>
        <v>0</v>
      </c>
      <c r="AL278" t="s">
        <v>36</v>
      </c>
    </row>
    <row r="279" spans="1:38" x14ac:dyDescent="0.25">
      <c r="A279">
        <v>397</v>
      </c>
      <c r="B279">
        <v>555</v>
      </c>
      <c r="C279">
        <v>556</v>
      </c>
      <c r="D279">
        <v>0</v>
      </c>
      <c r="E279">
        <v>1</v>
      </c>
      <c r="F279">
        <v>0</v>
      </c>
      <c r="G279">
        <v>0</v>
      </c>
      <c r="H279" t="s">
        <v>36</v>
      </c>
      <c r="I279" t="s">
        <v>36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  <c r="AE279" t="s">
        <v>36</v>
      </c>
      <c r="AF279" t="s">
        <v>36</v>
      </c>
      <c r="AG279" t="s">
        <v>36</v>
      </c>
      <c r="AH279" t="s">
        <v>36</v>
      </c>
      <c r="AI279" t="s">
        <v>36</v>
      </c>
      <c r="AJ279" t="s">
        <v>36</v>
      </c>
      <c r="AK279">
        <f>_xlfn.XLOOKUP(C279,[1]SPACE_GSS_3!$G:$G,[1]SPACE_GSS_3!$AP:$AP)</f>
        <v>0</v>
      </c>
      <c r="AL279" t="s">
        <v>36</v>
      </c>
    </row>
    <row r="280" spans="1:38" x14ac:dyDescent="0.25">
      <c r="A280">
        <v>405</v>
      </c>
      <c r="B280">
        <v>557</v>
      </c>
      <c r="C280">
        <v>558</v>
      </c>
      <c r="D280">
        <v>0</v>
      </c>
      <c r="E280">
        <v>1</v>
      </c>
      <c r="F280">
        <v>1</v>
      </c>
      <c r="G280">
        <v>1</v>
      </c>
      <c r="H280">
        <v>11.4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4</v>
      </c>
      <c r="P280">
        <v>151.19999999999999</v>
      </c>
      <c r="Q280">
        <v>1.512</v>
      </c>
      <c r="R280">
        <v>2.2861440000000002</v>
      </c>
      <c r="S280">
        <v>44</v>
      </c>
      <c r="T280">
        <v>19.246381679999999</v>
      </c>
      <c r="U280">
        <v>0</v>
      </c>
      <c r="V280" t="s">
        <v>36</v>
      </c>
      <c r="W280">
        <v>12.4</v>
      </c>
      <c r="X280">
        <v>2</v>
      </c>
      <c r="Y280">
        <v>1</v>
      </c>
      <c r="Z280">
        <v>0</v>
      </c>
      <c r="AA280">
        <v>0</v>
      </c>
      <c r="AB280">
        <v>0</v>
      </c>
      <c r="AC280">
        <v>1</v>
      </c>
      <c r="AD280">
        <v>4</v>
      </c>
      <c r="AE280">
        <v>154.39999</v>
      </c>
      <c r="AF280">
        <v>1.5439999</v>
      </c>
      <c r="AG280">
        <v>2.383935691</v>
      </c>
      <c r="AH280">
        <v>50.299999</v>
      </c>
      <c r="AI280">
        <v>21.099562030000001</v>
      </c>
      <c r="AJ280">
        <v>-0.1</v>
      </c>
      <c r="AK280">
        <f>_xlfn.XLOOKUP(C280,[1]SPACE_GSS_3!$G:$G,[1]SPACE_GSS_3!$AP:$AP)</f>
        <v>1</v>
      </c>
      <c r="AL280" t="s">
        <v>36</v>
      </c>
    </row>
    <row r="281" spans="1:38" x14ac:dyDescent="0.25">
      <c r="A281">
        <v>401</v>
      </c>
      <c r="B281">
        <v>559</v>
      </c>
      <c r="C281">
        <v>560</v>
      </c>
      <c r="D281">
        <v>0</v>
      </c>
      <c r="E281">
        <v>1</v>
      </c>
      <c r="F281">
        <v>0</v>
      </c>
      <c r="G281">
        <v>0</v>
      </c>
      <c r="H281" t="s">
        <v>36</v>
      </c>
      <c r="I281" t="s">
        <v>36</v>
      </c>
      <c r="J281" t="s">
        <v>36</v>
      </c>
      <c r="K281" t="s">
        <v>36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36</v>
      </c>
      <c r="AG281" t="s">
        <v>36</v>
      </c>
      <c r="AH281" t="s">
        <v>36</v>
      </c>
      <c r="AI281" t="s">
        <v>36</v>
      </c>
      <c r="AJ281" t="s">
        <v>36</v>
      </c>
      <c r="AK281">
        <f>_xlfn.XLOOKUP(C281,[1]SPACE_GSS_3!$G:$G,[1]SPACE_GSS_3!$AP:$AP)</f>
        <v>5</v>
      </c>
      <c r="AL281" t="s">
        <v>36</v>
      </c>
    </row>
    <row r="282" spans="1:38" x14ac:dyDescent="0.25">
      <c r="A282">
        <v>400</v>
      </c>
      <c r="B282">
        <v>561</v>
      </c>
      <c r="C282">
        <v>562</v>
      </c>
      <c r="D282">
        <v>0</v>
      </c>
      <c r="E282">
        <v>1</v>
      </c>
      <c r="F282">
        <v>1</v>
      </c>
      <c r="G282">
        <v>0</v>
      </c>
      <c r="H282">
        <v>12.4</v>
      </c>
      <c r="I282" t="s">
        <v>36</v>
      </c>
      <c r="J282" t="s">
        <v>36</v>
      </c>
      <c r="K282" t="s">
        <v>36</v>
      </c>
      <c r="L282" t="s">
        <v>36</v>
      </c>
      <c r="M282" t="s">
        <v>36</v>
      </c>
      <c r="N282" t="s">
        <v>36</v>
      </c>
      <c r="O282" t="s">
        <v>36</v>
      </c>
      <c r="P282">
        <v>162.10001</v>
      </c>
      <c r="Q282">
        <v>1.6210001000000001</v>
      </c>
      <c r="R282">
        <v>2.6276413239999998</v>
      </c>
      <c r="S282">
        <v>58.900002000000001</v>
      </c>
      <c r="T282">
        <v>22.415541059999999</v>
      </c>
      <c r="U282">
        <v>0</v>
      </c>
      <c r="V282" t="s">
        <v>36</v>
      </c>
      <c r="W282" t="s">
        <v>36</v>
      </c>
      <c r="X282" t="s">
        <v>36</v>
      </c>
      <c r="Y282" t="s">
        <v>36</v>
      </c>
      <c r="Z282" t="s">
        <v>36</v>
      </c>
      <c r="AA282" t="s">
        <v>36</v>
      </c>
      <c r="AB282" t="s">
        <v>36</v>
      </c>
      <c r="AC282" t="s">
        <v>36</v>
      </c>
      <c r="AD282" t="s">
        <v>36</v>
      </c>
      <c r="AE282" t="s">
        <v>36</v>
      </c>
      <c r="AF282" t="s">
        <v>36</v>
      </c>
      <c r="AG282" t="s">
        <v>36</v>
      </c>
      <c r="AH282" t="s">
        <v>36</v>
      </c>
      <c r="AI282" t="s">
        <v>36</v>
      </c>
      <c r="AJ282" t="s">
        <v>36</v>
      </c>
      <c r="AK282">
        <f>_xlfn.XLOOKUP(C282,[1]SPACE_GSS_3!$G:$G,[1]SPACE_GSS_3!$AP:$AP)</f>
        <v>1</v>
      </c>
      <c r="AL282" t="s">
        <v>36</v>
      </c>
    </row>
    <row r="283" spans="1:38" x14ac:dyDescent="0.25">
      <c r="A283">
        <v>399</v>
      </c>
      <c r="B283">
        <v>563</v>
      </c>
      <c r="C283">
        <v>564</v>
      </c>
      <c r="D283">
        <v>0</v>
      </c>
      <c r="E283">
        <v>1</v>
      </c>
      <c r="F283">
        <v>1</v>
      </c>
      <c r="G283">
        <v>1</v>
      </c>
      <c r="H283">
        <v>11.8</v>
      </c>
      <c r="I283">
        <v>2</v>
      </c>
      <c r="J283">
        <v>1</v>
      </c>
      <c r="K283">
        <v>1</v>
      </c>
      <c r="L283">
        <v>1</v>
      </c>
      <c r="M283">
        <v>0</v>
      </c>
      <c r="N283">
        <v>1</v>
      </c>
      <c r="O283">
        <v>4</v>
      </c>
      <c r="P283">
        <v>153.10001</v>
      </c>
      <c r="Q283">
        <v>1.5310001</v>
      </c>
      <c r="R283">
        <v>2.3439613060000002</v>
      </c>
      <c r="S283">
        <v>53</v>
      </c>
      <c r="T283">
        <v>22.61129476</v>
      </c>
      <c r="U283">
        <v>0</v>
      </c>
      <c r="V283" t="s">
        <v>36</v>
      </c>
      <c r="W283">
        <v>13</v>
      </c>
      <c r="X283">
        <v>2</v>
      </c>
      <c r="Y283">
        <v>1</v>
      </c>
      <c r="Z283">
        <v>0</v>
      </c>
      <c r="AA283">
        <v>1</v>
      </c>
      <c r="AB283">
        <v>0</v>
      </c>
      <c r="AC283">
        <v>1</v>
      </c>
      <c r="AD283">
        <v>4</v>
      </c>
      <c r="AE283">
        <v>155.5</v>
      </c>
      <c r="AF283">
        <v>1.5549999999999999</v>
      </c>
      <c r="AG283">
        <v>2.4180250000000001</v>
      </c>
      <c r="AH283">
        <v>57.400002000000001</v>
      </c>
      <c r="AI283">
        <v>23.738382359999999</v>
      </c>
      <c r="AJ283">
        <v>0</v>
      </c>
      <c r="AK283">
        <f>_xlfn.XLOOKUP(C283,[1]SPACE_GSS_3!$G:$G,[1]SPACE_GSS_3!$AP:$AP)</f>
        <v>1</v>
      </c>
      <c r="AL283" t="s">
        <v>36</v>
      </c>
    </row>
    <row r="284" spans="1:38" x14ac:dyDescent="0.25">
      <c r="A284">
        <v>403</v>
      </c>
      <c r="B284">
        <v>565</v>
      </c>
      <c r="C284">
        <v>566</v>
      </c>
      <c r="D284">
        <v>0</v>
      </c>
      <c r="E284">
        <v>1</v>
      </c>
      <c r="F284">
        <v>1</v>
      </c>
      <c r="G284">
        <v>0</v>
      </c>
      <c r="H284">
        <v>13.4</v>
      </c>
      <c r="I284" t="s">
        <v>36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36</v>
      </c>
      <c r="P284">
        <v>164.5</v>
      </c>
      <c r="Q284">
        <v>1.645</v>
      </c>
      <c r="R284">
        <v>2.7060249999999999</v>
      </c>
      <c r="S284">
        <v>74</v>
      </c>
      <c r="T284">
        <v>27.346384459999999</v>
      </c>
      <c r="U284">
        <v>0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AD284" t="s">
        <v>36</v>
      </c>
      <c r="AE284" t="s">
        <v>36</v>
      </c>
      <c r="AF284" t="s">
        <v>36</v>
      </c>
      <c r="AG284" t="s">
        <v>36</v>
      </c>
      <c r="AH284" t="s">
        <v>36</v>
      </c>
      <c r="AI284" t="s">
        <v>36</v>
      </c>
      <c r="AJ284" t="s">
        <v>36</v>
      </c>
      <c r="AK284">
        <f>_xlfn.XLOOKUP(C284,[1]SPACE_GSS_3!$G:$G,[1]SPACE_GSS_3!$AP:$AP)</f>
        <v>0</v>
      </c>
      <c r="AL284" t="s">
        <v>36</v>
      </c>
    </row>
    <row r="285" spans="1:38" x14ac:dyDescent="0.25">
      <c r="A285">
        <v>407</v>
      </c>
      <c r="B285">
        <v>567</v>
      </c>
      <c r="C285">
        <v>568</v>
      </c>
      <c r="D285">
        <v>0</v>
      </c>
      <c r="E285">
        <v>1</v>
      </c>
      <c r="F285">
        <v>0</v>
      </c>
      <c r="G285">
        <v>0</v>
      </c>
      <c r="H285" t="s">
        <v>36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36</v>
      </c>
      <c r="AG285" t="s">
        <v>36</v>
      </c>
      <c r="AH285" t="s">
        <v>36</v>
      </c>
      <c r="AI285" t="s">
        <v>36</v>
      </c>
      <c r="AJ285" t="s">
        <v>36</v>
      </c>
      <c r="AK285">
        <f>_xlfn.XLOOKUP(C285,[1]SPACE_GSS_3!$G:$G,[1]SPACE_GSS_3!$AP:$AP)</f>
        <v>4</v>
      </c>
      <c r="AL285" t="s">
        <v>36</v>
      </c>
    </row>
    <row r="286" spans="1:38" x14ac:dyDescent="0.25">
      <c r="A286">
        <v>390</v>
      </c>
      <c r="B286">
        <v>569</v>
      </c>
      <c r="C286">
        <v>570</v>
      </c>
      <c r="D286">
        <v>0</v>
      </c>
      <c r="E286">
        <v>1</v>
      </c>
      <c r="F286">
        <v>0</v>
      </c>
      <c r="G286">
        <v>0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  <c r="AE286" t="s">
        <v>36</v>
      </c>
      <c r="AF286" t="s">
        <v>36</v>
      </c>
      <c r="AG286" t="s">
        <v>36</v>
      </c>
      <c r="AH286" t="s">
        <v>36</v>
      </c>
      <c r="AI286" t="s">
        <v>36</v>
      </c>
      <c r="AJ286" t="s">
        <v>36</v>
      </c>
      <c r="AK286">
        <f>_xlfn.XLOOKUP(C286,[1]SPACE_GSS_3!$G:$G,[1]SPACE_GSS_3!$AP:$AP)</f>
        <v>1</v>
      </c>
      <c r="AL286" t="s">
        <v>36</v>
      </c>
    </row>
    <row r="287" spans="1:38" x14ac:dyDescent="0.25">
      <c r="A287">
        <v>387</v>
      </c>
      <c r="B287">
        <v>571</v>
      </c>
      <c r="C287">
        <v>572</v>
      </c>
      <c r="D287">
        <v>0</v>
      </c>
      <c r="E287">
        <v>1</v>
      </c>
      <c r="F287">
        <v>0</v>
      </c>
      <c r="G287">
        <v>0</v>
      </c>
      <c r="H287" t="s">
        <v>36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  <c r="AD287" t="s">
        <v>36</v>
      </c>
      <c r="AE287" t="s">
        <v>36</v>
      </c>
      <c r="AF287" t="s">
        <v>36</v>
      </c>
      <c r="AG287" t="s">
        <v>36</v>
      </c>
      <c r="AH287" t="s">
        <v>36</v>
      </c>
      <c r="AI287" t="s">
        <v>36</v>
      </c>
      <c r="AJ287" t="s">
        <v>36</v>
      </c>
      <c r="AK287">
        <f>_xlfn.XLOOKUP(C287,[1]SPACE_GSS_3!$G:$G,[1]SPACE_GSS_3!$AP:$AP)</f>
        <v>3</v>
      </c>
      <c r="AL287" t="s">
        <v>36</v>
      </c>
    </row>
    <row r="288" spans="1:38" x14ac:dyDescent="0.25">
      <c r="A288">
        <v>416</v>
      </c>
      <c r="B288">
        <v>573</v>
      </c>
      <c r="C288">
        <v>574</v>
      </c>
      <c r="D288">
        <v>0</v>
      </c>
      <c r="E288">
        <v>1</v>
      </c>
      <c r="F288">
        <v>1</v>
      </c>
      <c r="G288">
        <v>0</v>
      </c>
      <c r="H288">
        <v>13.6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4</v>
      </c>
      <c r="P288">
        <v>166.89999</v>
      </c>
      <c r="Q288">
        <v>1.6689999</v>
      </c>
      <c r="R288">
        <v>2.7855606659999999</v>
      </c>
      <c r="S288">
        <v>52.900002000000001</v>
      </c>
      <c r="T288">
        <v>18.990791560000002</v>
      </c>
      <c r="U288">
        <v>0</v>
      </c>
      <c r="V288" t="s">
        <v>36</v>
      </c>
      <c r="W288" t="s">
        <v>36</v>
      </c>
      <c r="X288" t="s">
        <v>36</v>
      </c>
      <c r="Y288" t="s">
        <v>36</v>
      </c>
      <c r="Z288" t="s">
        <v>36</v>
      </c>
      <c r="AA288" t="s">
        <v>36</v>
      </c>
      <c r="AB288" t="s">
        <v>36</v>
      </c>
      <c r="AC288" t="s">
        <v>36</v>
      </c>
      <c r="AD288" t="s">
        <v>36</v>
      </c>
      <c r="AE288" t="s">
        <v>36</v>
      </c>
      <c r="AF288" t="s">
        <v>36</v>
      </c>
      <c r="AG288" t="s">
        <v>36</v>
      </c>
      <c r="AH288" t="s">
        <v>36</v>
      </c>
      <c r="AI288" t="s">
        <v>36</v>
      </c>
      <c r="AJ288" t="s">
        <v>36</v>
      </c>
      <c r="AK288">
        <f>_xlfn.XLOOKUP(C288,[1]SPACE_GSS_3!$G:$G,[1]SPACE_GSS_3!$AP:$AP)</f>
        <v>4</v>
      </c>
      <c r="AL288" t="s">
        <v>36</v>
      </c>
    </row>
    <row r="289" spans="1:38" x14ac:dyDescent="0.25">
      <c r="A289">
        <v>406</v>
      </c>
      <c r="B289">
        <v>575</v>
      </c>
      <c r="C289">
        <v>576</v>
      </c>
      <c r="D289">
        <v>0</v>
      </c>
      <c r="E289">
        <v>1</v>
      </c>
      <c r="F289">
        <v>0</v>
      </c>
      <c r="G289">
        <v>0</v>
      </c>
      <c r="H289" t="s">
        <v>36</v>
      </c>
      <c r="I289" t="s">
        <v>36</v>
      </c>
      <c r="J289" t="s">
        <v>36</v>
      </c>
      <c r="K289" t="s">
        <v>36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  <c r="AE289" t="s">
        <v>36</v>
      </c>
      <c r="AF289" t="s">
        <v>36</v>
      </c>
      <c r="AG289" t="s">
        <v>36</v>
      </c>
      <c r="AH289" t="s">
        <v>36</v>
      </c>
      <c r="AI289" t="s">
        <v>36</v>
      </c>
      <c r="AJ289" t="s">
        <v>36</v>
      </c>
      <c r="AK289">
        <f>_xlfn.XLOOKUP(C289,[1]SPACE_GSS_3!$G:$G,[1]SPACE_GSS_3!$AP:$AP)</f>
        <v>0</v>
      </c>
      <c r="AL289" t="s">
        <v>36</v>
      </c>
    </row>
    <row r="290" spans="1:38" x14ac:dyDescent="0.25">
      <c r="A290">
        <v>415</v>
      </c>
      <c r="B290">
        <v>577</v>
      </c>
      <c r="C290">
        <v>578</v>
      </c>
      <c r="D290">
        <v>0</v>
      </c>
      <c r="E290">
        <v>1</v>
      </c>
      <c r="F290">
        <v>0</v>
      </c>
      <c r="G290">
        <v>0</v>
      </c>
      <c r="H290" t="s">
        <v>36</v>
      </c>
      <c r="I290" t="s">
        <v>36</v>
      </c>
      <c r="J290" t="s">
        <v>36</v>
      </c>
      <c r="K290" t="s">
        <v>36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36</v>
      </c>
      <c r="AE290" t="s">
        <v>36</v>
      </c>
      <c r="AF290" t="s">
        <v>36</v>
      </c>
      <c r="AG290" t="s">
        <v>36</v>
      </c>
      <c r="AH290" t="s">
        <v>36</v>
      </c>
      <c r="AI290" t="s">
        <v>36</v>
      </c>
      <c r="AJ290" t="s">
        <v>36</v>
      </c>
      <c r="AK290">
        <f>_xlfn.XLOOKUP(C290,[1]SPACE_GSS_3!$G:$G,[1]SPACE_GSS_3!$AP:$AP)</f>
        <v>2</v>
      </c>
      <c r="AL290" t="s">
        <v>36</v>
      </c>
    </row>
    <row r="291" spans="1:38" x14ac:dyDescent="0.25">
      <c r="A291">
        <v>396</v>
      </c>
      <c r="B291">
        <v>579</v>
      </c>
      <c r="C291">
        <v>580</v>
      </c>
      <c r="D291">
        <v>0</v>
      </c>
      <c r="E291">
        <v>1</v>
      </c>
      <c r="F291">
        <v>0</v>
      </c>
      <c r="G291">
        <v>0</v>
      </c>
      <c r="H291" t="s">
        <v>36</v>
      </c>
      <c r="I291" t="s">
        <v>36</v>
      </c>
      <c r="J291" t="s">
        <v>36</v>
      </c>
      <c r="K291" t="s">
        <v>36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36</v>
      </c>
      <c r="AD291" t="s">
        <v>36</v>
      </c>
      <c r="AE291" t="s">
        <v>36</v>
      </c>
      <c r="AF291" t="s">
        <v>36</v>
      </c>
      <c r="AG291" t="s">
        <v>36</v>
      </c>
      <c r="AH291" t="s">
        <v>36</v>
      </c>
      <c r="AI291" t="s">
        <v>36</v>
      </c>
      <c r="AJ291" t="s">
        <v>36</v>
      </c>
      <c r="AK291">
        <f>_xlfn.XLOOKUP(C291,[1]SPACE_GSS_3!$G:$G,[1]SPACE_GSS_3!$AP:$AP)</f>
        <v>5</v>
      </c>
      <c r="AL291" t="s">
        <v>36</v>
      </c>
    </row>
    <row r="292" spans="1:38" x14ac:dyDescent="0.25">
      <c r="A292">
        <v>395</v>
      </c>
      <c r="B292">
        <v>581</v>
      </c>
      <c r="C292">
        <v>582</v>
      </c>
      <c r="D292">
        <v>0</v>
      </c>
      <c r="E292">
        <v>1</v>
      </c>
      <c r="F292">
        <v>0</v>
      </c>
      <c r="G292">
        <v>0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  <c r="AE292" t="s">
        <v>36</v>
      </c>
      <c r="AF292" t="s">
        <v>36</v>
      </c>
      <c r="AG292" t="s">
        <v>36</v>
      </c>
      <c r="AH292" t="s">
        <v>36</v>
      </c>
      <c r="AI292" t="s">
        <v>36</v>
      </c>
      <c r="AJ292" t="s">
        <v>36</v>
      </c>
      <c r="AK292">
        <f>_xlfn.XLOOKUP(C292,[1]SPACE_GSS_3!$G:$G,[1]SPACE_GSS_3!$AP:$AP)</f>
        <v>2</v>
      </c>
      <c r="AL292" t="s">
        <v>36</v>
      </c>
    </row>
    <row r="293" spans="1:38" x14ac:dyDescent="0.25">
      <c r="A293">
        <v>411</v>
      </c>
      <c r="B293">
        <v>583</v>
      </c>
      <c r="C293">
        <v>584</v>
      </c>
      <c r="D293">
        <v>0</v>
      </c>
      <c r="E293">
        <v>1</v>
      </c>
      <c r="F293">
        <v>0</v>
      </c>
      <c r="G293">
        <v>0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  <c r="AD293" t="s">
        <v>36</v>
      </c>
      <c r="AE293" t="s">
        <v>36</v>
      </c>
      <c r="AF293" t="s">
        <v>36</v>
      </c>
      <c r="AG293" t="s">
        <v>36</v>
      </c>
      <c r="AH293" t="s">
        <v>36</v>
      </c>
      <c r="AI293" t="s">
        <v>36</v>
      </c>
      <c r="AJ293" t="s">
        <v>36</v>
      </c>
      <c r="AK293">
        <f>_xlfn.XLOOKUP(C293,[1]SPACE_GSS_3!$G:$G,[1]SPACE_GSS_3!$AP:$AP)</f>
        <v>7</v>
      </c>
      <c r="AL293" t="s">
        <v>36</v>
      </c>
    </row>
    <row r="294" spans="1:38" x14ac:dyDescent="0.25">
      <c r="A294">
        <v>383</v>
      </c>
      <c r="B294">
        <v>585</v>
      </c>
      <c r="C294">
        <v>586</v>
      </c>
      <c r="D294">
        <v>0</v>
      </c>
      <c r="E294">
        <v>1</v>
      </c>
      <c r="F294">
        <v>1</v>
      </c>
      <c r="G294">
        <v>0</v>
      </c>
      <c r="H294">
        <v>12.5</v>
      </c>
      <c r="I294" t="s">
        <v>36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>
        <v>164.10001</v>
      </c>
      <c r="Q294">
        <v>1.6410001000000001</v>
      </c>
      <c r="R294">
        <v>2.6928813279999999</v>
      </c>
      <c r="S294">
        <v>54</v>
      </c>
      <c r="T294">
        <v>20.052870299999999</v>
      </c>
      <c r="U294">
        <v>-0.30000000999999998</v>
      </c>
      <c r="V294">
        <v>54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36</v>
      </c>
      <c r="AG294" t="s">
        <v>36</v>
      </c>
      <c r="AH294" t="s">
        <v>36</v>
      </c>
      <c r="AI294" t="s">
        <v>36</v>
      </c>
      <c r="AJ294" t="s">
        <v>36</v>
      </c>
      <c r="AK294">
        <f>_xlfn.XLOOKUP(C294,[1]SPACE_GSS_3!$G:$G,[1]SPACE_GSS_3!$AP:$AP)</f>
        <v>2</v>
      </c>
      <c r="AL294" t="s">
        <v>36</v>
      </c>
    </row>
    <row r="295" spans="1:38" x14ac:dyDescent="0.25">
      <c r="A295">
        <v>414</v>
      </c>
      <c r="B295">
        <v>587</v>
      </c>
      <c r="C295">
        <v>588</v>
      </c>
      <c r="D295">
        <v>0</v>
      </c>
      <c r="E295">
        <v>1</v>
      </c>
      <c r="F295">
        <v>0</v>
      </c>
      <c r="G295">
        <v>0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  <c r="AE295" t="s">
        <v>36</v>
      </c>
      <c r="AF295" t="s">
        <v>36</v>
      </c>
      <c r="AG295" t="s">
        <v>36</v>
      </c>
      <c r="AH295" t="s">
        <v>36</v>
      </c>
      <c r="AI295" t="s">
        <v>36</v>
      </c>
      <c r="AJ295" t="s">
        <v>36</v>
      </c>
      <c r="AK295">
        <f>_xlfn.XLOOKUP(C295,[1]SPACE_GSS_3!$G:$G,[1]SPACE_GSS_3!$AP:$AP)</f>
        <v>5</v>
      </c>
      <c r="AL295" t="s">
        <v>36</v>
      </c>
    </row>
    <row r="296" spans="1:38" x14ac:dyDescent="0.25">
      <c r="A296">
        <v>408</v>
      </c>
      <c r="B296">
        <v>589</v>
      </c>
      <c r="C296">
        <v>590</v>
      </c>
      <c r="D296">
        <v>0</v>
      </c>
      <c r="E296">
        <v>1</v>
      </c>
      <c r="F296">
        <v>1</v>
      </c>
      <c r="G296">
        <v>0</v>
      </c>
      <c r="H296">
        <v>13.1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5</v>
      </c>
      <c r="P296">
        <v>165.3</v>
      </c>
      <c r="Q296">
        <v>1.653</v>
      </c>
      <c r="R296">
        <v>2.7324090000000001</v>
      </c>
      <c r="S296">
        <v>51.700001</v>
      </c>
      <c r="T296">
        <v>18.921033049999998</v>
      </c>
      <c r="U296">
        <v>0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  <c r="AE296" t="s">
        <v>36</v>
      </c>
      <c r="AF296" t="s">
        <v>36</v>
      </c>
      <c r="AG296" t="s">
        <v>36</v>
      </c>
      <c r="AH296" t="s">
        <v>36</v>
      </c>
      <c r="AI296" t="s">
        <v>36</v>
      </c>
      <c r="AJ296" t="s">
        <v>36</v>
      </c>
      <c r="AK296">
        <f>_xlfn.XLOOKUP(C296,[1]SPACE_GSS_3!$G:$G,[1]SPACE_GSS_3!$AP:$AP)</f>
        <v>1</v>
      </c>
      <c r="AL296" t="s">
        <v>36</v>
      </c>
    </row>
    <row r="297" spans="1:38" x14ac:dyDescent="0.25">
      <c r="A297">
        <v>393</v>
      </c>
      <c r="B297">
        <v>591</v>
      </c>
      <c r="C297">
        <v>592</v>
      </c>
      <c r="D297">
        <v>0</v>
      </c>
      <c r="E297">
        <v>1</v>
      </c>
      <c r="F297">
        <v>1</v>
      </c>
      <c r="G297">
        <v>1</v>
      </c>
      <c r="H297">
        <v>12.8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5</v>
      </c>
      <c r="P297">
        <v>162.89999</v>
      </c>
      <c r="Q297">
        <v>1.6289998999999999</v>
      </c>
      <c r="R297">
        <v>2.653640674</v>
      </c>
      <c r="S297">
        <v>51.5</v>
      </c>
      <c r="T297">
        <v>19.40729975</v>
      </c>
      <c r="U297">
        <v>0</v>
      </c>
      <c r="V297" t="s">
        <v>36</v>
      </c>
      <c r="W297">
        <v>13.7</v>
      </c>
      <c r="X297" t="s">
        <v>36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36</v>
      </c>
      <c r="AE297">
        <v>166</v>
      </c>
      <c r="AF297">
        <v>1.66</v>
      </c>
      <c r="AG297">
        <v>2.7555999999999998</v>
      </c>
      <c r="AH297">
        <v>66.599997999999999</v>
      </c>
      <c r="AI297">
        <v>24.168964290000002</v>
      </c>
      <c r="AJ297">
        <v>0</v>
      </c>
      <c r="AK297">
        <f>_xlfn.XLOOKUP(C297,[1]SPACE_GSS_3!$G:$G,[1]SPACE_GSS_3!$AP:$AP)</f>
        <v>6</v>
      </c>
      <c r="AL297" t="s">
        <v>36</v>
      </c>
    </row>
    <row r="298" spans="1:38" x14ac:dyDescent="0.25">
      <c r="A298">
        <v>388</v>
      </c>
      <c r="B298">
        <v>593</v>
      </c>
      <c r="C298">
        <v>594</v>
      </c>
      <c r="D298">
        <v>0</v>
      </c>
      <c r="E298">
        <v>1</v>
      </c>
      <c r="F298">
        <v>0</v>
      </c>
      <c r="G298">
        <v>0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36</v>
      </c>
      <c r="AE298" t="s">
        <v>36</v>
      </c>
      <c r="AF298" t="s">
        <v>36</v>
      </c>
      <c r="AG298" t="s">
        <v>36</v>
      </c>
      <c r="AH298" t="s">
        <v>36</v>
      </c>
      <c r="AI298" t="s">
        <v>36</v>
      </c>
      <c r="AJ298" t="s">
        <v>36</v>
      </c>
      <c r="AK298">
        <f>_xlfn.XLOOKUP(C298,[1]SPACE_GSS_3!$G:$G,[1]SPACE_GSS_3!$AP:$AP)</f>
        <v>0</v>
      </c>
      <c r="AL298" t="s">
        <v>36</v>
      </c>
    </row>
    <row r="299" spans="1:38" x14ac:dyDescent="0.25">
      <c r="A299">
        <v>410</v>
      </c>
      <c r="B299">
        <v>595</v>
      </c>
      <c r="C299">
        <v>596</v>
      </c>
      <c r="D299">
        <v>0</v>
      </c>
      <c r="E299">
        <v>1</v>
      </c>
      <c r="F299">
        <v>0</v>
      </c>
      <c r="G299">
        <v>0</v>
      </c>
      <c r="H299" t="s">
        <v>36</v>
      </c>
      <c r="I299" t="s">
        <v>36</v>
      </c>
      <c r="J299" t="s">
        <v>36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 t="s">
        <v>36</v>
      </c>
      <c r="AF299" t="s">
        <v>36</v>
      </c>
      <c r="AG299" t="s">
        <v>36</v>
      </c>
      <c r="AH299" t="s">
        <v>36</v>
      </c>
      <c r="AI299" t="s">
        <v>36</v>
      </c>
      <c r="AJ299" t="s">
        <v>36</v>
      </c>
      <c r="AK299">
        <f>_xlfn.XLOOKUP(C299,[1]SPACE_GSS_3!$G:$G,[1]SPACE_GSS_3!$AP:$AP)</f>
        <v>1</v>
      </c>
      <c r="AL299" t="s">
        <v>36</v>
      </c>
    </row>
    <row r="300" spans="1:38" x14ac:dyDescent="0.25">
      <c r="A300">
        <v>413</v>
      </c>
      <c r="B300">
        <v>597</v>
      </c>
      <c r="C300">
        <v>598</v>
      </c>
      <c r="D300">
        <v>0</v>
      </c>
      <c r="E300">
        <v>1</v>
      </c>
      <c r="F300">
        <v>0</v>
      </c>
      <c r="G300">
        <v>0</v>
      </c>
      <c r="H300" t="s">
        <v>36</v>
      </c>
      <c r="I300" t="s">
        <v>36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  <c r="AE300" t="s">
        <v>36</v>
      </c>
      <c r="AF300" t="s">
        <v>36</v>
      </c>
      <c r="AG300" t="s">
        <v>36</v>
      </c>
      <c r="AH300" t="s">
        <v>36</v>
      </c>
      <c r="AI300" t="s">
        <v>36</v>
      </c>
      <c r="AJ300" t="s">
        <v>36</v>
      </c>
      <c r="AK300">
        <f>_xlfn.XLOOKUP(C300,[1]SPACE_GSS_3!$G:$G,[1]SPACE_GSS_3!$AP:$AP)</f>
        <v>0</v>
      </c>
      <c r="AL300" t="s">
        <v>36</v>
      </c>
    </row>
    <row r="301" spans="1:38" x14ac:dyDescent="0.25">
      <c r="A301">
        <v>409</v>
      </c>
      <c r="B301">
        <v>599</v>
      </c>
      <c r="C301">
        <v>600</v>
      </c>
      <c r="D301">
        <v>0</v>
      </c>
      <c r="E301">
        <v>1</v>
      </c>
      <c r="F301">
        <v>0</v>
      </c>
      <c r="G301">
        <v>0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  <c r="AE301" t="s">
        <v>36</v>
      </c>
      <c r="AF301" t="s">
        <v>36</v>
      </c>
      <c r="AG301" t="s">
        <v>36</v>
      </c>
      <c r="AH301" t="s">
        <v>36</v>
      </c>
      <c r="AI301" t="s">
        <v>36</v>
      </c>
      <c r="AJ301" t="s">
        <v>36</v>
      </c>
      <c r="AK301">
        <f>_xlfn.XLOOKUP(C301,[1]SPACE_GSS_3!$G:$G,[1]SPACE_GSS_3!$AP:$AP)</f>
        <v>2</v>
      </c>
      <c r="AL3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Empathy_Data_9.25.2025_HLM 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Adornetti, Julianna</cp:lastModifiedBy>
  <dcterms:created xsi:type="dcterms:W3CDTF">2025-11-06T23:40:19Z</dcterms:created>
  <dcterms:modified xsi:type="dcterms:W3CDTF">2025-11-07T00:50:15Z</dcterms:modified>
</cp:coreProperties>
</file>